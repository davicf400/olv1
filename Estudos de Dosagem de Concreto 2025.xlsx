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icf\Downloads\"/>
    </mc:Choice>
  </mc:AlternateContent>
  <xr:revisionPtr revIDLastSave="0" documentId="8_{32FE03C9-B5D4-44D0-BF3A-012793BF8CB0}" xr6:coauthVersionLast="47" xr6:coauthVersionMax="47" xr10:uidLastSave="{00000000-0000-0000-0000-000000000000}"/>
  <bookViews>
    <workbookView xWindow="-120" yWindow="-120" windowWidth="29040" windowHeight="15720" tabRatio="890" firstSheet="2" activeTab="5" xr2:uid="{DCF89E03-3DC7-4750-9719-DF5CFDF2B280}"/>
  </bookViews>
  <sheets>
    <sheet name="Cadastro de Cliente" sheetId="3" r:id="rId1"/>
    <sheet name="Cadastro de Insumos" sheetId="1" r:id="rId2"/>
    <sheet name="Escopo de Estudo" sheetId="2" r:id="rId3"/>
    <sheet name="Dados - Fase Plástica" sheetId="4" r:id="rId4"/>
    <sheet name="Dados - Resistências" sheetId="14" r:id="rId5"/>
    <sheet name="Avaliação de Resultado" sheetId="15" r:id="rId6"/>
    <sheet name="Compilado de Dados" sheetId="5" r:id="rId7"/>
    <sheet name="Ficha de Dosagem - A" sheetId="6" r:id="rId8"/>
    <sheet name="Ficha de Dosagem - B" sheetId="8" r:id="rId9"/>
    <sheet name="Ficha de Dosagem - C" sheetId="9" r:id="rId10"/>
    <sheet name="Ficha de Dosagem - D" sheetId="10" r:id="rId11"/>
    <sheet name="Ficha de Dosagem - E" sheetId="11" r:id="rId12"/>
    <sheet name="Ficha de Dosagem - F" sheetId="12" r:id="rId13"/>
    <sheet name="Ficha de Dosagem - G" sheetId="13" r:id="rId14"/>
  </sheets>
  <definedNames>
    <definedName name="_xlnm.Print_Area" localSheetId="0">'Cadastro de Cliente'!$A$1:$AG$20</definedName>
    <definedName name="_xlnm.Print_Area" localSheetId="1">'Cadastro de Insumos'!$A$1:$AE$89</definedName>
    <definedName name="_xlnm.Print_Area" localSheetId="2">'Escopo de Estudo'!$A$1:$AG$40</definedName>
    <definedName name="_xlnm.Print_Area" localSheetId="7">'Ficha de Dosagem - A'!$B$2:$Z$31</definedName>
    <definedName name="_xlnm.Print_Area" localSheetId="8">'Ficha de Dosagem - B'!$B$2:$Z$31</definedName>
    <definedName name="_xlnm.Print_Area" localSheetId="9">'Ficha de Dosagem - C'!$B$2:$Z$31</definedName>
    <definedName name="_xlnm.Print_Area" localSheetId="10">'Ficha de Dosagem - D'!$B$2:$Z$31</definedName>
    <definedName name="_xlnm.Print_Area" localSheetId="11">'Ficha de Dosagem - E'!$B$2:$Z$31</definedName>
    <definedName name="_xlnm.Print_Area" localSheetId="12">'Ficha de Dosagem - F'!$B$2:$Z$31</definedName>
    <definedName name="_xlnm.Print_Area" localSheetId="13">'Ficha de Dosagem - G'!$B$2:$Z$31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4" l="1"/>
  <c r="AX44" i="5"/>
  <c r="M9" i="14"/>
  <c r="L1" i="14" a="1"/>
  <c r="J6" i="14"/>
  <c r="J7" i="14"/>
  <c r="J10" i="14"/>
  <c r="J11" i="14"/>
  <c r="J14" i="14"/>
  <c r="J15" i="14"/>
  <c r="J18" i="14"/>
  <c r="J19" i="14"/>
  <c r="J22" i="14"/>
  <c r="J23" i="14"/>
  <c r="J26" i="14"/>
  <c r="J27" i="14"/>
  <c r="J30" i="14"/>
  <c r="J31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L1" i="14" l="1"/>
  <c r="L9" i="14" s="1"/>
  <c r="N23" i="4"/>
  <c r="N20" i="4"/>
  <c r="N17" i="4"/>
  <c r="N14" i="4"/>
  <c r="N11" i="4"/>
  <c r="N8" i="4"/>
  <c r="N5" i="4"/>
  <c r="K23" i="4"/>
  <c r="L23" i="4" s="1"/>
  <c r="M23" i="4" s="1"/>
  <c r="O23" i="4" s="1"/>
  <c r="K20" i="4"/>
  <c r="L20" i="4" s="1"/>
  <c r="M20" i="4" s="1"/>
  <c r="O20" i="4" s="1"/>
  <c r="K17" i="4"/>
  <c r="L17" i="4" s="1"/>
  <c r="M17" i="4" s="1"/>
  <c r="O17" i="4" s="1"/>
  <c r="K14" i="4"/>
  <c r="L14" i="4" s="1"/>
  <c r="M14" i="4" s="1"/>
  <c r="O14" i="4" s="1"/>
  <c r="K11" i="4"/>
  <c r="K8" i="4"/>
  <c r="L8" i="4" s="1"/>
  <c r="M8" i="4" s="1"/>
  <c r="L11" i="4"/>
  <c r="M11" i="4" s="1"/>
  <c r="O11" i="4" s="1"/>
  <c r="K5" i="4"/>
  <c r="L5" i="4" s="1"/>
  <c r="M5" i="4" s="1"/>
  <c r="O5" i="4" s="1"/>
  <c r="P5" i="4" s="1"/>
  <c r="B6" i="13"/>
  <c r="B2" i="13"/>
  <c r="Z31" i="13"/>
  <c r="Y31" i="13"/>
  <c r="X31" i="13"/>
  <c r="W31" i="13"/>
  <c r="V31" i="13"/>
  <c r="V30" i="13" s="1"/>
  <c r="U31" i="13"/>
  <c r="U30" i="13" s="1"/>
  <c r="T31" i="13"/>
  <c r="T30" i="13" s="1"/>
  <c r="R31" i="13"/>
  <c r="R30" i="13" s="1"/>
  <c r="O31" i="13"/>
  <c r="O30" i="13" s="1"/>
  <c r="E31" i="13"/>
  <c r="D31" i="13"/>
  <c r="C31" i="13"/>
  <c r="Z30" i="13"/>
  <c r="Y30" i="13"/>
  <c r="X30" i="13"/>
  <c r="W30" i="13"/>
  <c r="Z29" i="13"/>
  <c r="Z28" i="13" s="1"/>
  <c r="Y29" i="13"/>
  <c r="Y28" i="13" s="1"/>
  <c r="X29" i="13"/>
  <c r="X28" i="13" s="1"/>
  <c r="W29" i="13"/>
  <c r="W28" i="13" s="1"/>
  <c r="V29" i="13"/>
  <c r="V28" i="13" s="1"/>
  <c r="U29" i="13"/>
  <c r="U28" i="13" s="1"/>
  <c r="T29" i="13"/>
  <c r="T28" i="13" s="1"/>
  <c r="R29" i="13"/>
  <c r="R28" i="13" s="1"/>
  <c r="E29" i="13"/>
  <c r="D29" i="13"/>
  <c r="C29" i="13"/>
  <c r="Z27" i="13"/>
  <c r="Z26" i="13" s="1"/>
  <c r="Y27" i="13"/>
  <c r="Y26" i="13" s="1"/>
  <c r="X27" i="13"/>
  <c r="X26" i="13" s="1"/>
  <c r="W27" i="13"/>
  <c r="W26" i="13" s="1"/>
  <c r="V27" i="13"/>
  <c r="V26" i="13" s="1"/>
  <c r="U27" i="13"/>
  <c r="U26" i="13" s="1"/>
  <c r="T27" i="13"/>
  <c r="T26" i="13" s="1"/>
  <c r="E27" i="13"/>
  <c r="D27" i="13"/>
  <c r="C27" i="13"/>
  <c r="Z25" i="13"/>
  <c r="Z24" i="13" s="1"/>
  <c r="Y25" i="13"/>
  <c r="Y24" i="13" s="1"/>
  <c r="X25" i="13"/>
  <c r="X24" i="13" s="1"/>
  <c r="W25" i="13"/>
  <c r="W24" i="13" s="1"/>
  <c r="V25" i="13"/>
  <c r="V24" i="13" s="1"/>
  <c r="U25" i="13"/>
  <c r="U24" i="13" s="1"/>
  <c r="T25" i="13"/>
  <c r="T24" i="13" s="1"/>
  <c r="O25" i="13"/>
  <c r="O24" i="13" s="1"/>
  <c r="E25" i="13"/>
  <c r="D25" i="13"/>
  <c r="C25" i="13"/>
  <c r="Z23" i="13"/>
  <c r="Z22" i="13" s="1"/>
  <c r="Y23" i="13"/>
  <c r="Y22" i="13" s="1"/>
  <c r="X23" i="13"/>
  <c r="X22" i="13" s="1"/>
  <c r="W23" i="13"/>
  <c r="W22" i="13" s="1"/>
  <c r="V23" i="13"/>
  <c r="V22" i="13" s="1"/>
  <c r="U23" i="13"/>
  <c r="U22" i="13" s="1"/>
  <c r="T23" i="13"/>
  <c r="R23" i="13"/>
  <c r="R22" i="13" s="1"/>
  <c r="O23" i="13"/>
  <c r="O22" i="13" s="1"/>
  <c r="E23" i="13"/>
  <c r="D23" i="13"/>
  <c r="C23" i="13"/>
  <c r="T22" i="13"/>
  <c r="Z21" i="13"/>
  <c r="Z20" i="13" s="1"/>
  <c r="Y21" i="13"/>
  <c r="Y20" i="13" s="1"/>
  <c r="X21" i="13"/>
  <c r="X20" i="13" s="1"/>
  <c r="W21" i="13"/>
  <c r="W20" i="13" s="1"/>
  <c r="V21" i="13"/>
  <c r="V20" i="13" s="1"/>
  <c r="U21" i="13"/>
  <c r="U20" i="13" s="1"/>
  <c r="T21" i="13"/>
  <c r="T20" i="13" s="1"/>
  <c r="R21" i="13"/>
  <c r="R20" i="13" s="1"/>
  <c r="E21" i="13"/>
  <c r="D21" i="13"/>
  <c r="C21" i="13"/>
  <c r="Z19" i="13"/>
  <c r="Z18" i="13" s="1"/>
  <c r="Y19" i="13"/>
  <c r="Y18" i="13" s="1"/>
  <c r="X19" i="13"/>
  <c r="X18" i="13" s="1"/>
  <c r="W19" i="13"/>
  <c r="W18" i="13" s="1"/>
  <c r="V19" i="13"/>
  <c r="V18" i="13" s="1"/>
  <c r="U19" i="13"/>
  <c r="U18" i="13" s="1"/>
  <c r="T19" i="13"/>
  <c r="T18" i="13" s="1"/>
  <c r="E19" i="13"/>
  <c r="D19" i="13"/>
  <c r="C19" i="13"/>
  <c r="Z17" i="13"/>
  <c r="Z16" i="13" s="1"/>
  <c r="Y17" i="13"/>
  <c r="Y16" i="13" s="1"/>
  <c r="X17" i="13"/>
  <c r="X16" i="13" s="1"/>
  <c r="W17" i="13"/>
  <c r="W16" i="13" s="1"/>
  <c r="V17" i="13"/>
  <c r="V16" i="13" s="1"/>
  <c r="U17" i="13"/>
  <c r="U16" i="13" s="1"/>
  <c r="T17" i="13"/>
  <c r="T16" i="13" s="1"/>
  <c r="O17" i="13"/>
  <c r="O16" i="13" s="1"/>
  <c r="E17" i="13"/>
  <c r="D17" i="13"/>
  <c r="C17" i="13"/>
  <c r="Z15" i="13"/>
  <c r="Z14" i="13" s="1"/>
  <c r="Y15" i="13"/>
  <c r="Y14" i="13" s="1"/>
  <c r="X15" i="13"/>
  <c r="X14" i="13" s="1"/>
  <c r="W15" i="13"/>
  <c r="W14" i="13" s="1"/>
  <c r="V15" i="13"/>
  <c r="V14" i="13" s="1"/>
  <c r="U15" i="13"/>
  <c r="U14" i="13" s="1"/>
  <c r="T15" i="13"/>
  <c r="T14" i="13" s="1"/>
  <c r="R15" i="13"/>
  <c r="R14" i="13" s="1"/>
  <c r="O15" i="13"/>
  <c r="O14" i="13" s="1"/>
  <c r="E15" i="13"/>
  <c r="D15" i="13"/>
  <c r="C15" i="13"/>
  <c r="Z13" i="13"/>
  <c r="Z12" i="13" s="1"/>
  <c r="Y13" i="13"/>
  <c r="Y12" i="13" s="1"/>
  <c r="X13" i="13"/>
  <c r="X12" i="13" s="1"/>
  <c r="W13" i="13"/>
  <c r="W12" i="13" s="1"/>
  <c r="V13" i="13"/>
  <c r="V12" i="13" s="1"/>
  <c r="U13" i="13"/>
  <c r="U12" i="13" s="1"/>
  <c r="T13" i="13"/>
  <c r="T12" i="13" s="1"/>
  <c r="R13" i="13"/>
  <c r="R12" i="13" s="1"/>
  <c r="E13" i="13"/>
  <c r="D13" i="13"/>
  <c r="C13" i="13"/>
  <c r="Z11" i="13"/>
  <c r="Y11" i="13"/>
  <c r="X11" i="13"/>
  <c r="W11" i="13"/>
  <c r="V11" i="13"/>
  <c r="U11" i="13"/>
  <c r="T11" i="13"/>
  <c r="E11" i="13"/>
  <c r="D11" i="13"/>
  <c r="C11" i="13"/>
  <c r="B11" i="13"/>
  <c r="H11" i="13" s="1"/>
  <c r="Z10" i="13"/>
  <c r="Y10" i="13"/>
  <c r="X10" i="13"/>
  <c r="W6" i="13" s="1"/>
  <c r="W10" i="13"/>
  <c r="W5" i="13" s="1"/>
  <c r="V10" i="13"/>
  <c r="S8" i="13" s="1"/>
  <c r="T8" i="13" s="1"/>
  <c r="U10" i="13"/>
  <c r="S7" i="13" s="1"/>
  <c r="T7" i="13" s="1"/>
  <c r="T10" i="13"/>
  <c r="S10" i="13"/>
  <c r="S5" i="13" s="1"/>
  <c r="T5" i="13" s="1"/>
  <c r="R10" i="13"/>
  <c r="R27" i="13" s="1"/>
  <c r="R26" i="13" s="1"/>
  <c r="Q10" i="13"/>
  <c r="P6" i="13" s="1"/>
  <c r="Q6" i="13" s="1"/>
  <c r="P10" i="13"/>
  <c r="O10" i="13"/>
  <c r="O29" i="13" s="1"/>
  <c r="O28" i="13" s="1"/>
  <c r="N10" i="13"/>
  <c r="M6" i="13" s="1"/>
  <c r="N6" i="13" s="1"/>
  <c r="W8" i="13"/>
  <c r="W7" i="13"/>
  <c r="Q7" i="13"/>
  <c r="P7" i="13"/>
  <c r="S6" i="13"/>
  <c r="T6" i="13" s="1"/>
  <c r="P5" i="13"/>
  <c r="Q5" i="13" s="1"/>
  <c r="M5" i="13"/>
  <c r="N5" i="13" s="1"/>
  <c r="Y3" i="13"/>
  <c r="U3" i="13"/>
  <c r="X3" i="13" s="1"/>
  <c r="T3" i="13"/>
  <c r="M3" i="13"/>
  <c r="Q3" i="13" s="1"/>
  <c r="T2" i="13"/>
  <c r="Y2" i="13" s="1"/>
  <c r="Q2" i="13"/>
  <c r="P2" i="13"/>
  <c r="N2" i="13"/>
  <c r="M2" i="13"/>
  <c r="B2" i="12"/>
  <c r="B6" i="12"/>
  <c r="Z31" i="12"/>
  <c r="Z30" i="12" s="1"/>
  <c r="Y31" i="12"/>
  <c r="Y30" i="12" s="1"/>
  <c r="X31" i="12"/>
  <c r="X30" i="12" s="1"/>
  <c r="W31" i="12"/>
  <c r="W30" i="12" s="1"/>
  <c r="V31" i="12"/>
  <c r="V30" i="12" s="1"/>
  <c r="U31" i="12"/>
  <c r="U30" i="12" s="1"/>
  <c r="T31" i="12"/>
  <c r="T30" i="12" s="1"/>
  <c r="E31" i="12"/>
  <c r="D31" i="12"/>
  <c r="C31" i="12"/>
  <c r="Z29" i="12"/>
  <c r="Z28" i="12" s="1"/>
  <c r="Y29" i="12"/>
  <c r="Y28" i="12" s="1"/>
  <c r="X29" i="12"/>
  <c r="X28" i="12" s="1"/>
  <c r="W29" i="12"/>
  <c r="W28" i="12" s="1"/>
  <c r="V29" i="12"/>
  <c r="V28" i="12" s="1"/>
  <c r="U29" i="12"/>
  <c r="U28" i="12" s="1"/>
  <c r="T29" i="12"/>
  <c r="T28" i="12" s="1"/>
  <c r="E29" i="12"/>
  <c r="D29" i="12"/>
  <c r="C29" i="12"/>
  <c r="Z27" i="12"/>
  <c r="Z26" i="12" s="1"/>
  <c r="Y27" i="12"/>
  <c r="Y26" i="12" s="1"/>
  <c r="X27" i="12"/>
  <c r="X26" i="12" s="1"/>
  <c r="W27" i="12"/>
  <c r="W26" i="12" s="1"/>
  <c r="V27" i="12"/>
  <c r="V26" i="12" s="1"/>
  <c r="U27" i="12"/>
  <c r="U26" i="12" s="1"/>
  <c r="T27" i="12"/>
  <c r="T26" i="12" s="1"/>
  <c r="E27" i="12"/>
  <c r="D27" i="12"/>
  <c r="C27" i="12"/>
  <c r="Z25" i="12"/>
  <c r="Z24" i="12" s="1"/>
  <c r="Y25" i="12"/>
  <c r="Y24" i="12" s="1"/>
  <c r="X25" i="12"/>
  <c r="X24" i="12" s="1"/>
  <c r="W25" i="12"/>
  <c r="W24" i="12" s="1"/>
  <c r="V25" i="12"/>
  <c r="V24" i="12" s="1"/>
  <c r="U25" i="12"/>
  <c r="U24" i="12" s="1"/>
  <c r="T25" i="12"/>
  <c r="T24" i="12" s="1"/>
  <c r="E25" i="12"/>
  <c r="D25" i="12"/>
  <c r="C25" i="12"/>
  <c r="Z23" i="12"/>
  <c r="Z22" i="12" s="1"/>
  <c r="Y23" i="12"/>
  <c r="Y22" i="12" s="1"/>
  <c r="X23" i="12"/>
  <c r="X22" i="12" s="1"/>
  <c r="W23" i="12"/>
  <c r="W22" i="12" s="1"/>
  <c r="V23" i="12"/>
  <c r="V22" i="12" s="1"/>
  <c r="U23" i="12"/>
  <c r="U22" i="12" s="1"/>
  <c r="T23" i="12"/>
  <c r="T22" i="12" s="1"/>
  <c r="R23" i="12"/>
  <c r="R22" i="12" s="1"/>
  <c r="E23" i="12"/>
  <c r="D23" i="12"/>
  <c r="C23" i="12"/>
  <c r="Z21" i="12"/>
  <c r="Z20" i="12" s="1"/>
  <c r="Y21" i="12"/>
  <c r="Y20" i="12" s="1"/>
  <c r="X21" i="12"/>
  <c r="X20" i="12" s="1"/>
  <c r="W21" i="12"/>
  <c r="W20" i="12" s="1"/>
  <c r="V21" i="12"/>
  <c r="V20" i="12" s="1"/>
  <c r="U21" i="12"/>
  <c r="U20" i="12" s="1"/>
  <c r="T21" i="12"/>
  <c r="T20" i="12" s="1"/>
  <c r="E21" i="12"/>
  <c r="D21" i="12"/>
  <c r="C21" i="12"/>
  <c r="Z19" i="12"/>
  <c r="Z18" i="12" s="1"/>
  <c r="Y19" i="12"/>
  <c r="Y18" i="12" s="1"/>
  <c r="X19" i="12"/>
  <c r="X18" i="12" s="1"/>
  <c r="W19" i="12"/>
  <c r="W18" i="12" s="1"/>
  <c r="V19" i="12"/>
  <c r="V18" i="12" s="1"/>
  <c r="U19" i="12"/>
  <c r="U18" i="12" s="1"/>
  <c r="T19" i="12"/>
  <c r="T18" i="12" s="1"/>
  <c r="E19" i="12"/>
  <c r="D19" i="12"/>
  <c r="C19" i="12"/>
  <c r="Z17" i="12"/>
  <c r="Z16" i="12" s="1"/>
  <c r="Y17" i="12"/>
  <c r="Y16" i="12" s="1"/>
  <c r="X17" i="12"/>
  <c r="X16" i="12" s="1"/>
  <c r="W17" i="12"/>
  <c r="W16" i="12" s="1"/>
  <c r="V17" i="12"/>
  <c r="V16" i="12" s="1"/>
  <c r="U17" i="12"/>
  <c r="U16" i="12" s="1"/>
  <c r="T17" i="12"/>
  <c r="T16" i="12" s="1"/>
  <c r="E17" i="12"/>
  <c r="D17" i="12"/>
  <c r="C17" i="12"/>
  <c r="Z15" i="12"/>
  <c r="Z14" i="12" s="1"/>
  <c r="Y15" i="12"/>
  <c r="Y14" i="12" s="1"/>
  <c r="X15" i="12"/>
  <c r="X14" i="12" s="1"/>
  <c r="W15" i="12"/>
  <c r="W14" i="12" s="1"/>
  <c r="V15" i="12"/>
  <c r="V14" i="12" s="1"/>
  <c r="U15" i="12"/>
  <c r="U14" i="12" s="1"/>
  <c r="T15" i="12"/>
  <c r="T14" i="12" s="1"/>
  <c r="R15" i="12"/>
  <c r="R14" i="12" s="1"/>
  <c r="E15" i="12"/>
  <c r="D15" i="12"/>
  <c r="C15" i="12"/>
  <c r="Z13" i="12"/>
  <c r="Z12" i="12" s="1"/>
  <c r="Y13" i="12"/>
  <c r="Y12" i="12" s="1"/>
  <c r="X13" i="12"/>
  <c r="X12" i="12" s="1"/>
  <c r="W13" i="12"/>
  <c r="W12" i="12" s="1"/>
  <c r="V13" i="12"/>
  <c r="V12" i="12" s="1"/>
  <c r="U13" i="12"/>
  <c r="U12" i="12" s="1"/>
  <c r="T13" i="12"/>
  <c r="T12" i="12" s="1"/>
  <c r="E13" i="12"/>
  <c r="D13" i="12"/>
  <c r="C13" i="12"/>
  <c r="Z11" i="12"/>
  <c r="Y11" i="12"/>
  <c r="X11" i="12"/>
  <c r="W11" i="12"/>
  <c r="V11" i="12"/>
  <c r="U11" i="12"/>
  <c r="T11" i="12"/>
  <c r="R11" i="12"/>
  <c r="E11" i="12"/>
  <c r="D11" i="12"/>
  <c r="C11" i="12"/>
  <c r="B11" i="12"/>
  <c r="H11" i="12" s="1"/>
  <c r="Z10" i="12"/>
  <c r="Y10" i="12"/>
  <c r="W7" i="12" s="1"/>
  <c r="X10" i="12"/>
  <c r="W6" i="12" s="1"/>
  <c r="W10" i="12"/>
  <c r="W5" i="12" s="1"/>
  <c r="V10" i="12"/>
  <c r="U10" i="12"/>
  <c r="T10" i="12"/>
  <c r="S6" i="12" s="1"/>
  <c r="T6" i="12" s="1"/>
  <c r="S10" i="12"/>
  <c r="S5" i="12" s="1"/>
  <c r="T5" i="12" s="1"/>
  <c r="R10" i="12"/>
  <c r="R27" i="12" s="1"/>
  <c r="R26" i="12" s="1"/>
  <c r="Q10" i="12"/>
  <c r="P10" i="12"/>
  <c r="O10" i="12"/>
  <c r="O29" i="12" s="1"/>
  <c r="O28" i="12" s="1"/>
  <c r="N10" i="12"/>
  <c r="M6" i="12" s="1"/>
  <c r="N6" i="12" s="1"/>
  <c r="W8" i="12"/>
  <c r="S8" i="12"/>
  <c r="T8" i="12" s="1"/>
  <c r="S7" i="12"/>
  <c r="T7" i="12" s="1"/>
  <c r="Q7" i="12"/>
  <c r="P7" i="12"/>
  <c r="P6" i="12"/>
  <c r="Q6" i="12" s="1"/>
  <c r="P5" i="12"/>
  <c r="Q5" i="12" s="1"/>
  <c r="M5" i="12"/>
  <c r="N5" i="12" s="1"/>
  <c r="Y3" i="12"/>
  <c r="T3" i="12"/>
  <c r="U3" i="12" s="1"/>
  <c r="X3" i="12" s="1"/>
  <c r="M3" i="12"/>
  <c r="T2" i="12"/>
  <c r="Y2" i="12" s="1"/>
  <c r="Q2" i="12"/>
  <c r="P2" i="12"/>
  <c r="M2" i="12"/>
  <c r="N2" i="12" s="1"/>
  <c r="B2" i="11"/>
  <c r="B6" i="11"/>
  <c r="Z31" i="11"/>
  <c r="Z30" i="11" s="1"/>
  <c r="Y31" i="11"/>
  <c r="Y30" i="11" s="1"/>
  <c r="X31" i="11"/>
  <c r="X30" i="11" s="1"/>
  <c r="W31" i="11"/>
  <c r="W30" i="11" s="1"/>
  <c r="V31" i="11"/>
  <c r="V30" i="11" s="1"/>
  <c r="U31" i="11"/>
  <c r="U30" i="11" s="1"/>
  <c r="T31" i="11"/>
  <c r="T30" i="11" s="1"/>
  <c r="O31" i="11"/>
  <c r="O30" i="11" s="1"/>
  <c r="E31" i="11"/>
  <c r="D31" i="11"/>
  <c r="C31" i="11"/>
  <c r="Z29" i="11"/>
  <c r="Z28" i="11" s="1"/>
  <c r="Y29" i="11"/>
  <c r="Y28" i="11" s="1"/>
  <c r="X29" i="11"/>
  <c r="X28" i="11" s="1"/>
  <c r="W29" i="11"/>
  <c r="W28" i="11" s="1"/>
  <c r="V29" i="11"/>
  <c r="V28" i="11" s="1"/>
  <c r="U29" i="11"/>
  <c r="U28" i="11" s="1"/>
  <c r="T29" i="11"/>
  <c r="T28" i="11" s="1"/>
  <c r="R29" i="11"/>
  <c r="R28" i="11" s="1"/>
  <c r="E29" i="11"/>
  <c r="D29" i="11"/>
  <c r="C29" i="11"/>
  <c r="Z27" i="11"/>
  <c r="Z26" i="11" s="1"/>
  <c r="Y27" i="11"/>
  <c r="Y26" i="11" s="1"/>
  <c r="X27" i="11"/>
  <c r="X26" i="11" s="1"/>
  <c r="W27" i="11"/>
  <c r="W26" i="11" s="1"/>
  <c r="V27" i="11"/>
  <c r="V26" i="11" s="1"/>
  <c r="U27" i="11"/>
  <c r="U26" i="11" s="1"/>
  <c r="T27" i="11"/>
  <c r="T26" i="11" s="1"/>
  <c r="E27" i="11"/>
  <c r="D27" i="11"/>
  <c r="C27" i="11"/>
  <c r="Z25" i="11"/>
  <c r="Z24" i="11" s="1"/>
  <c r="Y25" i="11"/>
  <c r="Y24" i="11" s="1"/>
  <c r="X25" i="11"/>
  <c r="X24" i="11" s="1"/>
  <c r="W25" i="11"/>
  <c r="W24" i="11" s="1"/>
  <c r="V25" i="11"/>
  <c r="V24" i="11" s="1"/>
  <c r="U25" i="11"/>
  <c r="U24" i="11" s="1"/>
  <c r="T25" i="11"/>
  <c r="T24" i="11" s="1"/>
  <c r="E25" i="11"/>
  <c r="D25" i="11"/>
  <c r="C25" i="11"/>
  <c r="Z23" i="11"/>
  <c r="Z22" i="11" s="1"/>
  <c r="Y23" i="11"/>
  <c r="Y22" i="11" s="1"/>
  <c r="X23" i="11"/>
  <c r="X22" i="11" s="1"/>
  <c r="W23" i="11"/>
  <c r="W22" i="11" s="1"/>
  <c r="V23" i="11"/>
  <c r="V22" i="11" s="1"/>
  <c r="U23" i="11"/>
  <c r="U22" i="11" s="1"/>
  <c r="T23" i="11"/>
  <c r="T22" i="11" s="1"/>
  <c r="O23" i="11"/>
  <c r="O22" i="11" s="1"/>
  <c r="E23" i="11"/>
  <c r="D23" i="11"/>
  <c r="C23" i="11"/>
  <c r="Z21" i="11"/>
  <c r="Z20" i="11" s="1"/>
  <c r="Y21" i="11"/>
  <c r="Y20" i="11" s="1"/>
  <c r="X21" i="11"/>
  <c r="X20" i="11" s="1"/>
  <c r="W21" i="11"/>
  <c r="W20" i="11" s="1"/>
  <c r="V21" i="11"/>
  <c r="V20" i="11" s="1"/>
  <c r="U21" i="11"/>
  <c r="U20" i="11" s="1"/>
  <c r="T21" i="11"/>
  <c r="T20" i="11" s="1"/>
  <c r="R21" i="11"/>
  <c r="R20" i="11" s="1"/>
  <c r="E21" i="11"/>
  <c r="D21" i="11"/>
  <c r="C21" i="11"/>
  <c r="Z19" i="11"/>
  <c r="Z18" i="11" s="1"/>
  <c r="Y19" i="11"/>
  <c r="Y18" i="11" s="1"/>
  <c r="X19" i="11"/>
  <c r="X18" i="11" s="1"/>
  <c r="W19" i="11"/>
  <c r="W18" i="11" s="1"/>
  <c r="V19" i="11"/>
  <c r="V18" i="11" s="1"/>
  <c r="U19" i="11"/>
  <c r="U18" i="11" s="1"/>
  <c r="T19" i="11"/>
  <c r="T18" i="11" s="1"/>
  <c r="E19" i="11"/>
  <c r="D19" i="11"/>
  <c r="C19" i="11"/>
  <c r="Z17" i="11"/>
  <c r="Z16" i="11" s="1"/>
  <c r="Y17" i="11"/>
  <c r="Y16" i="11" s="1"/>
  <c r="X17" i="11"/>
  <c r="X16" i="11" s="1"/>
  <c r="W17" i="11"/>
  <c r="W16" i="11" s="1"/>
  <c r="V17" i="11"/>
  <c r="V16" i="11" s="1"/>
  <c r="U17" i="11"/>
  <c r="U16" i="11" s="1"/>
  <c r="T17" i="11"/>
  <c r="T16" i="11" s="1"/>
  <c r="E17" i="11"/>
  <c r="D17" i="11"/>
  <c r="C17" i="11"/>
  <c r="Z15" i="11"/>
  <c r="Z14" i="11" s="1"/>
  <c r="Y15" i="11"/>
  <c r="Y14" i="11" s="1"/>
  <c r="X15" i="11"/>
  <c r="X14" i="11" s="1"/>
  <c r="W15" i="11"/>
  <c r="W14" i="11" s="1"/>
  <c r="V15" i="11"/>
  <c r="V14" i="11" s="1"/>
  <c r="U15" i="11"/>
  <c r="U14" i="11" s="1"/>
  <c r="T15" i="11"/>
  <c r="T14" i="11" s="1"/>
  <c r="O15" i="11"/>
  <c r="O14" i="11" s="1"/>
  <c r="E15" i="11"/>
  <c r="D15" i="11"/>
  <c r="C15" i="11"/>
  <c r="Z13" i="11"/>
  <c r="Z12" i="11" s="1"/>
  <c r="Y13" i="11"/>
  <c r="Y12" i="11" s="1"/>
  <c r="X13" i="11"/>
  <c r="X12" i="11" s="1"/>
  <c r="W13" i="11"/>
  <c r="V13" i="11"/>
  <c r="V12" i="11" s="1"/>
  <c r="U13" i="11"/>
  <c r="U12" i="11" s="1"/>
  <c r="T13" i="11"/>
  <c r="T12" i="11" s="1"/>
  <c r="R13" i="11"/>
  <c r="R12" i="11" s="1"/>
  <c r="E13" i="11"/>
  <c r="D13" i="11"/>
  <c r="C13" i="11"/>
  <c r="W12" i="11"/>
  <c r="Z11" i="11"/>
  <c r="Y11" i="11"/>
  <c r="X11" i="11"/>
  <c r="W11" i="11"/>
  <c r="V11" i="11"/>
  <c r="U11" i="11"/>
  <c r="T11" i="11"/>
  <c r="E11" i="11"/>
  <c r="D11" i="11"/>
  <c r="C11" i="11"/>
  <c r="B11" i="11"/>
  <c r="H11" i="11" s="1"/>
  <c r="Z10" i="11"/>
  <c r="W8" i="11" s="1"/>
  <c r="Y10" i="11"/>
  <c r="X10" i="11"/>
  <c r="W10" i="11"/>
  <c r="W5" i="11" s="1"/>
  <c r="V10" i="11"/>
  <c r="S8" i="11" s="1"/>
  <c r="T8" i="11" s="1"/>
  <c r="U10" i="11"/>
  <c r="T10" i="11"/>
  <c r="S10" i="11"/>
  <c r="S5" i="11" s="1"/>
  <c r="T5" i="11" s="1"/>
  <c r="R10" i="11"/>
  <c r="R27" i="11" s="1"/>
  <c r="R26" i="11" s="1"/>
  <c r="Q10" i="11"/>
  <c r="P6" i="11" s="1"/>
  <c r="Q6" i="11" s="1"/>
  <c r="P10" i="11"/>
  <c r="O10" i="11"/>
  <c r="O29" i="11" s="1"/>
  <c r="O28" i="11" s="1"/>
  <c r="N10" i="11"/>
  <c r="W7" i="11"/>
  <c r="S7" i="11"/>
  <c r="T7" i="11" s="1"/>
  <c r="W6" i="11"/>
  <c r="T6" i="11"/>
  <c r="S6" i="11"/>
  <c r="P5" i="11"/>
  <c r="Q5" i="11" s="1"/>
  <c r="N5" i="11"/>
  <c r="M5" i="11"/>
  <c r="Y3" i="11"/>
  <c r="U3" i="11"/>
  <c r="X3" i="11" s="1"/>
  <c r="T3" i="11"/>
  <c r="M3" i="11"/>
  <c r="X2" i="11"/>
  <c r="U2" i="11"/>
  <c r="T2" i="11"/>
  <c r="Y2" i="11" s="1"/>
  <c r="Q2" i="11"/>
  <c r="P2" i="11"/>
  <c r="N2" i="11"/>
  <c r="M2" i="11"/>
  <c r="B2" i="10"/>
  <c r="B6" i="10"/>
  <c r="B6" i="9"/>
  <c r="Z31" i="10"/>
  <c r="Z30" i="10" s="1"/>
  <c r="Y31" i="10"/>
  <c r="Y30" i="10" s="1"/>
  <c r="X31" i="10"/>
  <c r="X30" i="10" s="1"/>
  <c r="W31" i="10"/>
  <c r="W30" i="10" s="1"/>
  <c r="V31" i="10"/>
  <c r="V30" i="10" s="1"/>
  <c r="U31" i="10"/>
  <c r="U30" i="10" s="1"/>
  <c r="T31" i="10"/>
  <c r="T30" i="10" s="1"/>
  <c r="E31" i="10"/>
  <c r="D31" i="10"/>
  <c r="C31" i="10"/>
  <c r="Z29" i="10"/>
  <c r="Z28" i="10" s="1"/>
  <c r="Y29" i="10"/>
  <c r="Y28" i="10" s="1"/>
  <c r="X29" i="10"/>
  <c r="X28" i="10" s="1"/>
  <c r="W29" i="10"/>
  <c r="W28" i="10" s="1"/>
  <c r="V29" i="10"/>
  <c r="V28" i="10" s="1"/>
  <c r="U29" i="10"/>
  <c r="U28" i="10" s="1"/>
  <c r="T29" i="10"/>
  <c r="T28" i="10" s="1"/>
  <c r="O29" i="10"/>
  <c r="O28" i="10" s="1"/>
  <c r="E29" i="10"/>
  <c r="D29" i="10"/>
  <c r="C29" i="10"/>
  <c r="Z27" i="10"/>
  <c r="Z26" i="10" s="1"/>
  <c r="Y27" i="10"/>
  <c r="Y26" i="10" s="1"/>
  <c r="X27" i="10"/>
  <c r="X26" i="10" s="1"/>
  <c r="W27" i="10"/>
  <c r="W26" i="10" s="1"/>
  <c r="V27" i="10"/>
  <c r="V26" i="10" s="1"/>
  <c r="U27" i="10"/>
  <c r="U26" i="10" s="1"/>
  <c r="T27" i="10"/>
  <c r="T26" i="10" s="1"/>
  <c r="O27" i="10"/>
  <c r="O26" i="10" s="1"/>
  <c r="E27" i="10"/>
  <c r="D27" i="10"/>
  <c r="C27" i="10"/>
  <c r="Z25" i="10"/>
  <c r="Z24" i="10" s="1"/>
  <c r="Y25" i="10"/>
  <c r="Y24" i="10" s="1"/>
  <c r="X25" i="10"/>
  <c r="X24" i="10" s="1"/>
  <c r="W25" i="10"/>
  <c r="W24" i="10" s="1"/>
  <c r="V25" i="10"/>
  <c r="V24" i="10" s="1"/>
  <c r="U25" i="10"/>
  <c r="U24" i="10" s="1"/>
  <c r="T25" i="10"/>
  <c r="T24" i="10" s="1"/>
  <c r="E25" i="10"/>
  <c r="D25" i="10"/>
  <c r="C25" i="10"/>
  <c r="Z23" i="10"/>
  <c r="Z22" i="10" s="1"/>
  <c r="Y23" i="10"/>
  <c r="Y22" i="10" s="1"/>
  <c r="X23" i="10"/>
  <c r="X22" i="10" s="1"/>
  <c r="W23" i="10"/>
  <c r="W22" i="10" s="1"/>
  <c r="V23" i="10"/>
  <c r="V22" i="10" s="1"/>
  <c r="U23" i="10"/>
  <c r="U22" i="10" s="1"/>
  <c r="T23" i="10"/>
  <c r="T22" i="10" s="1"/>
  <c r="E23" i="10"/>
  <c r="D23" i="10"/>
  <c r="C23" i="10"/>
  <c r="Z21" i="10"/>
  <c r="Z20" i="10" s="1"/>
  <c r="Y21" i="10"/>
  <c r="Y20" i="10" s="1"/>
  <c r="X21" i="10"/>
  <c r="X20" i="10" s="1"/>
  <c r="W21" i="10"/>
  <c r="W20" i="10" s="1"/>
  <c r="V21" i="10"/>
  <c r="V20" i="10" s="1"/>
  <c r="U21" i="10"/>
  <c r="U20" i="10" s="1"/>
  <c r="T21" i="10"/>
  <c r="T20" i="10" s="1"/>
  <c r="O21" i="10"/>
  <c r="O20" i="10" s="1"/>
  <c r="E21" i="10"/>
  <c r="D21" i="10"/>
  <c r="C21" i="10"/>
  <c r="Z19" i="10"/>
  <c r="Z18" i="10" s="1"/>
  <c r="Y19" i="10"/>
  <c r="Y18" i="10" s="1"/>
  <c r="X19" i="10"/>
  <c r="X18" i="10" s="1"/>
  <c r="W19" i="10"/>
  <c r="W18" i="10" s="1"/>
  <c r="V19" i="10"/>
  <c r="V18" i="10" s="1"/>
  <c r="U19" i="10"/>
  <c r="U18" i="10" s="1"/>
  <c r="T19" i="10"/>
  <c r="T18" i="10" s="1"/>
  <c r="O19" i="10"/>
  <c r="O18" i="10" s="1"/>
  <c r="E19" i="10"/>
  <c r="D19" i="10"/>
  <c r="C19" i="10"/>
  <c r="Z17" i="10"/>
  <c r="Z16" i="10" s="1"/>
  <c r="Y17" i="10"/>
  <c r="Y16" i="10" s="1"/>
  <c r="X17" i="10"/>
  <c r="X16" i="10" s="1"/>
  <c r="W17" i="10"/>
  <c r="W16" i="10" s="1"/>
  <c r="V17" i="10"/>
  <c r="V16" i="10" s="1"/>
  <c r="U17" i="10"/>
  <c r="U16" i="10" s="1"/>
  <c r="T17" i="10"/>
  <c r="T16" i="10" s="1"/>
  <c r="E17" i="10"/>
  <c r="D17" i="10"/>
  <c r="C17" i="10"/>
  <c r="Z15" i="10"/>
  <c r="Z14" i="10" s="1"/>
  <c r="Y15" i="10"/>
  <c r="Y14" i="10" s="1"/>
  <c r="X15" i="10"/>
  <c r="X14" i="10" s="1"/>
  <c r="W15" i="10"/>
  <c r="W14" i="10" s="1"/>
  <c r="V15" i="10"/>
  <c r="V14" i="10" s="1"/>
  <c r="U15" i="10"/>
  <c r="U14" i="10" s="1"/>
  <c r="T15" i="10"/>
  <c r="T14" i="10" s="1"/>
  <c r="E15" i="10"/>
  <c r="D15" i="10"/>
  <c r="C15" i="10"/>
  <c r="Z13" i="10"/>
  <c r="Z12" i="10" s="1"/>
  <c r="Y13" i="10"/>
  <c r="Y12" i="10" s="1"/>
  <c r="X13" i="10"/>
  <c r="X12" i="10" s="1"/>
  <c r="W13" i="10"/>
  <c r="W12" i="10" s="1"/>
  <c r="V13" i="10"/>
  <c r="V12" i="10" s="1"/>
  <c r="U13" i="10"/>
  <c r="U12" i="10" s="1"/>
  <c r="T13" i="10"/>
  <c r="T12" i="10" s="1"/>
  <c r="O13" i="10"/>
  <c r="O12" i="10" s="1"/>
  <c r="E13" i="10"/>
  <c r="D13" i="10"/>
  <c r="C13" i="10"/>
  <c r="Z11" i="10"/>
  <c r="Y11" i="10"/>
  <c r="X11" i="10"/>
  <c r="W11" i="10"/>
  <c r="V11" i="10"/>
  <c r="U11" i="10"/>
  <c r="T11" i="10"/>
  <c r="O11" i="10"/>
  <c r="E11" i="10"/>
  <c r="D11" i="10"/>
  <c r="C11" i="10"/>
  <c r="B11" i="10"/>
  <c r="B12" i="10" s="1"/>
  <c r="Z10" i="10"/>
  <c r="Y10" i="10"/>
  <c r="W7" i="10" s="1"/>
  <c r="X10" i="10"/>
  <c r="W6" i="10" s="1"/>
  <c r="W10" i="10"/>
  <c r="W5" i="10" s="1"/>
  <c r="V10" i="10"/>
  <c r="U10" i="10"/>
  <c r="T10" i="10"/>
  <c r="S6" i="10" s="1"/>
  <c r="T6" i="10" s="1"/>
  <c r="S10" i="10"/>
  <c r="S5" i="10" s="1"/>
  <c r="T5" i="10" s="1"/>
  <c r="R10" i="10"/>
  <c r="R27" i="10" s="1"/>
  <c r="R26" i="10" s="1"/>
  <c r="Q10" i="10"/>
  <c r="P6" i="10" s="1"/>
  <c r="Q6" i="10" s="1"/>
  <c r="P10" i="10"/>
  <c r="P5" i="10" s="1"/>
  <c r="Q5" i="10" s="1"/>
  <c r="O10" i="10"/>
  <c r="O25" i="10" s="1"/>
  <c r="O24" i="10" s="1"/>
  <c r="N10" i="10"/>
  <c r="M6" i="10" s="1"/>
  <c r="N6" i="10" s="1"/>
  <c r="W8" i="10"/>
  <c r="S8" i="10"/>
  <c r="T8" i="10" s="1"/>
  <c r="S7" i="10"/>
  <c r="T7" i="10" s="1"/>
  <c r="Q7" i="10"/>
  <c r="P7" i="10"/>
  <c r="M7" i="10"/>
  <c r="N7" i="10" s="1"/>
  <c r="M5" i="10"/>
  <c r="N5" i="10" s="1"/>
  <c r="T3" i="10"/>
  <c r="Y3" i="10" s="1"/>
  <c r="M3" i="10"/>
  <c r="Y2" i="10"/>
  <c r="T2" i="10"/>
  <c r="U2" i="10" s="1"/>
  <c r="X2" i="10" s="1"/>
  <c r="P2" i="10"/>
  <c r="M2" i="10"/>
  <c r="Q2" i="10" s="1"/>
  <c r="Z31" i="9"/>
  <c r="Z30" i="9" s="1"/>
  <c r="Y31" i="9"/>
  <c r="Y30" i="9" s="1"/>
  <c r="X31" i="9"/>
  <c r="X30" i="9" s="1"/>
  <c r="W31" i="9"/>
  <c r="W30" i="9" s="1"/>
  <c r="V31" i="9"/>
  <c r="V30" i="9" s="1"/>
  <c r="U31" i="9"/>
  <c r="U30" i="9" s="1"/>
  <c r="T31" i="9"/>
  <c r="T30" i="9" s="1"/>
  <c r="E31" i="9"/>
  <c r="D31" i="9"/>
  <c r="C31" i="9"/>
  <c r="Z29" i="9"/>
  <c r="Z28" i="9" s="1"/>
  <c r="Y29" i="9"/>
  <c r="Y28" i="9" s="1"/>
  <c r="X29" i="9"/>
  <c r="X28" i="9" s="1"/>
  <c r="W29" i="9"/>
  <c r="W28" i="9" s="1"/>
  <c r="V29" i="9"/>
  <c r="V28" i="9" s="1"/>
  <c r="U29" i="9"/>
  <c r="U28" i="9" s="1"/>
  <c r="T29" i="9"/>
  <c r="T28" i="9" s="1"/>
  <c r="O29" i="9"/>
  <c r="O28" i="9" s="1"/>
  <c r="E29" i="9"/>
  <c r="D29" i="9"/>
  <c r="C29" i="9"/>
  <c r="Z27" i="9"/>
  <c r="Z26" i="9" s="1"/>
  <c r="Y27" i="9"/>
  <c r="Y26" i="9" s="1"/>
  <c r="X27" i="9"/>
  <c r="X26" i="9" s="1"/>
  <c r="W27" i="9"/>
  <c r="W26" i="9" s="1"/>
  <c r="V27" i="9"/>
  <c r="V26" i="9" s="1"/>
  <c r="U27" i="9"/>
  <c r="U26" i="9" s="1"/>
  <c r="T27" i="9"/>
  <c r="T26" i="9" s="1"/>
  <c r="E27" i="9"/>
  <c r="D27" i="9"/>
  <c r="C27" i="9"/>
  <c r="Z25" i="9"/>
  <c r="Z24" i="9" s="1"/>
  <c r="Y25" i="9"/>
  <c r="Y24" i="9" s="1"/>
  <c r="X25" i="9"/>
  <c r="X24" i="9" s="1"/>
  <c r="W25" i="9"/>
  <c r="W24" i="9" s="1"/>
  <c r="V25" i="9"/>
  <c r="V24" i="9" s="1"/>
  <c r="U25" i="9"/>
  <c r="U24" i="9" s="1"/>
  <c r="T25" i="9"/>
  <c r="T24" i="9" s="1"/>
  <c r="E25" i="9"/>
  <c r="D25" i="9"/>
  <c r="C25" i="9"/>
  <c r="Z23" i="9"/>
  <c r="Z22" i="9" s="1"/>
  <c r="Y23" i="9"/>
  <c r="Y22" i="9" s="1"/>
  <c r="X23" i="9"/>
  <c r="X22" i="9" s="1"/>
  <c r="W23" i="9"/>
  <c r="W22" i="9" s="1"/>
  <c r="V23" i="9"/>
  <c r="V22" i="9" s="1"/>
  <c r="U23" i="9"/>
  <c r="U22" i="9" s="1"/>
  <c r="T23" i="9"/>
  <c r="T22" i="9" s="1"/>
  <c r="E23" i="9"/>
  <c r="D23" i="9"/>
  <c r="C23" i="9"/>
  <c r="Z21" i="9"/>
  <c r="Z20" i="9" s="1"/>
  <c r="Y21" i="9"/>
  <c r="Y20" i="9" s="1"/>
  <c r="X21" i="9"/>
  <c r="X20" i="9" s="1"/>
  <c r="W21" i="9"/>
  <c r="W20" i="9" s="1"/>
  <c r="V21" i="9"/>
  <c r="V20" i="9" s="1"/>
  <c r="U21" i="9"/>
  <c r="U20" i="9" s="1"/>
  <c r="T21" i="9"/>
  <c r="T20" i="9" s="1"/>
  <c r="O21" i="9"/>
  <c r="O20" i="9" s="1"/>
  <c r="E21" i="9"/>
  <c r="D21" i="9"/>
  <c r="C21" i="9"/>
  <c r="Z19" i="9"/>
  <c r="Z18" i="9" s="1"/>
  <c r="Y19" i="9"/>
  <c r="Y18" i="9" s="1"/>
  <c r="X19" i="9"/>
  <c r="X18" i="9" s="1"/>
  <c r="W19" i="9"/>
  <c r="W18" i="9" s="1"/>
  <c r="V19" i="9"/>
  <c r="V18" i="9" s="1"/>
  <c r="U19" i="9"/>
  <c r="U18" i="9" s="1"/>
  <c r="T19" i="9"/>
  <c r="T18" i="9" s="1"/>
  <c r="E19" i="9"/>
  <c r="D19" i="9"/>
  <c r="C19" i="9"/>
  <c r="Z17" i="9"/>
  <c r="Z16" i="9" s="1"/>
  <c r="Y17" i="9"/>
  <c r="Y16" i="9" s="1"/>
  <c r="X17" i="9"/>
  <c r="X16" i="9" s="1"/>
  <c r="W17" i="9"/>
  <c r="W16" i="9" s="1"/>
  <c r="V17" i="9"/>
  <c r="V16" i="9" s="1"/>
  <c r="U17" i="9"/>
  <c r="U16" i="9" s="1"/>
  <c r="T17" i="9"/>
  <c r="T16" i="9" s="1"/>
  <c r="O17" i="9"/>
  <c r="O16" i="9" s="1"/>
  <c r="E17" i="9"/>
  <c r="D17" i="9"/>
  <c r="C17" i="9"/>
  <c r="Z15" i="9"/>
  <c r="Z14" i="9" s="1"/>
  <c r="Y15" i="9"/>
  <c r="Y14" i="9" s="1"/>
  <c r="X15" i="9"/>
  <c r="X14" i="9" s="1"/>
  <c r="W15" i="9"/>
  <c r="W14" i="9" s="1"/>
  <c r="V15" i="9"/>
  <c r="V14" i="9" s="1"/>
  <c r="U15" i="9"/>
  <c r="U14" i="9" s="1"/>
  <c r="T15" i="9"/>
  <c r="T14" i="9" s="1"/>
  <c r="E15" i="9"/>
  <c r="D15" i="9"/>
  <c r="C15" i="9"/>
  <c r="Z13" i="9"/>
  <c r="Z12" i="9" s="1"/>
  <c r="Y13" i="9"/>
  <c r="Y12" i="9" s="1"/>
  <c r="X13" i="9"/>
  <c r="X12" i="9" s="1"/>
  <c r="W13" i="9"/>
  <c r="W12" i="9" s="1"/>
  <c r="V13" i="9"/>
  <c r="V12" i="9" s="1"/>
  <c r="U13" i="9"/>
  <c r="U12" i="9" s="1"/>
  <c r="T13" i="9"/>
  <c r="T12" i="9" s="1"/>
  <c r="O13" i="9"/>
  <c r="O12" i="9" s="1"/>
  <c r="E13" i="9"/>
  <c r="D13" i="9"/>
  <c r="C13" i="9"/>
  <c r="Z11" i="9"/>
  <c r="Y11" i="9"/>
  <c r="X11" i="9"/>
  <c r="W11" i="9"/>
  <c r="V11" i="9"/>
  <c r="U11" i="9"/>
  <c r="T11" i="9"/>
  <c r="O11" i="9"/>
  <c r="E11" i="9"/>
  <c r="D11" i="9"/>
  <c r="C11" i="9"/>
  <c r="B11" i="9"/>
  <c r="F11" i="9" s="1"/>
  <c r="Z10" i="9"/>
  <c r="Y10" i="9"/>
  <c r="W7" i="9" s="1"/>
  <c r="X10" i="9"/>
  <c r="W6" i="9" s="1"/>
  <c r="W10" i="9"/>
  <c r="W5" i="9" s="1"/>
  <c r="V10" i="9"/>
  <c r="U10" i="9"/>
  <c r="T10" i="9"/>
  <c r="S6" i="9" s="1"/>
  <c r="T6" i="9" s="1"/>
  <c r="S10" i="9"/>
  <c r="S5" i="9" s="1"/>
  <c r="T5" i="9" s="1"/>
  <c r="R10" i="9"/>
  <c r="R27" i="9" s="1"/>
  <c r="R26" i="9" s="1"/>
  <c r="Q10" i="9"/>
  <c r="P10" i="9"/>
  <c r="P5" i="9" s="1"/>
  <c r="Q5" i="9" s="1"/>
  <c r="O10" i="9"/>
  <c r="O27" i="9" s="1"/>
  <c r="O26" i="9" s="1"/>
  <c r="N10" i="9"/>
  <c r="M6" i="9" s="1"/>
  <c r="N6" i="9" s="1"/>
  <c r="W8" i="9"/>
  <c r="S8" i="9"/>
  <c r="T8" i="9" s="1"/>
  <c r="S7" i="9"/>
  <c r="T7" i="9" s="1"/>
  <c r="P7" i="9"/>
  <c r="Q7" i="9" s="1"/>
  <c r="N7" i="9"/>
  <c r="M7" i="9"/>
  <c r="P6" i="9"/>
  <c r="Q6" i="9" s="1"/>
  <c r="M5" i="9"/>
  <c r="N5" i="9" s="1"/>
  <c r="Y3" i="9"/>
  <c r="T3" i="9"/>
  <c r="U3" i="9" s="1"/>
  <c r="X3" i="9" s="1"/>
  <c r="M3" i="9"/>
  <c r="T2" i="9"/>
  <c r="Y2" i="9" s="1"/>
  <c r="Q2" i="9"/>
  <c r="P2" i="9"/>
  <c r="M2" i="9"/>
  <c r="N2" i="9" s="1"/>
  <c r="B6" i="8"/>
  <c r="Z31" i="8"/>
  <c r="Z30" i="8" s="1"/>
  <c r="Y31" i="8"/>
  <c r="Y30" i="8" s="1"/>
  <c r="X31" i="8"/>
  <c r="X30" i="8" s="1"/>
  <c r="W31" i="8"/>
  <c r="W30" i="8" s="1"/>
  <c r="V31" i="8"/>
  <c r="V30" i="8" s="1"/>
  <c r="U31" i="8"/>
  <c r="U30" i="8" s="1"/>
  <c r="T31" i="8"/>
  <c r="T30" i="8" s="1"/>
  <c r="O31" i="8"/>
  <c r="O30" i="8" s="1"/>
  <c r="E31" i="8"/>
  <c r="D31" i="8"/>
  <c r="C31" i="8"/>
  <c r="Z29" i="8"/>
  <c r="Z28" i="8" s="1"/>
  <c r="Y29" i="8"/>
  <c r="Y28" i="8" s="1"/>
  <c r="X29" i="8"/>
  <c r="X28" i="8" s="1"/>
  <c r="W29" i="8"/>
  <c r="W28" i="8" s="1"/>
  <c r="V29" i="8"/>
  <c r="V28" i="8" s="1"/>
  <c r="U29" i="8"/>
  <c r="U28" i="8" s="1"/>
  <c r="T29" i="8"/>
  <c r="T28" i="8" s="1"/>
  <c r="R29" i="8"/>
  <c r="R28" i="8" s="1"/>
  <c r="E29" i="8"/>
  <c r="D29" i="8"/>
  <c r="C29" i="8"/>
  <c r="Z27" i="8"/>
  <c r="Z26" i="8" s="1"/>
  <c r="Y27" i="8"/>
  <c r="Y26" i="8" s="1"/>
  <c r="X27" i="8"/>
  <c r="X26" i="8" s="1"/>
  <c r="W27" i="8"/>
  <c r="W26" i="8" s="1"/>
  <c r="V27" i="8"/>
  <c r="V26" i="8" s="1"/>
  <c r="U27" i="8"/>
  <c r="U26" i="8" s="1"/>
  <c r="T27" i="8"/>
  <c r="T26" i="8" s="1"/>
  <c r="E27" i="8"/>
  <c r="D27" i="8"/>
  <c r="C27" i="8"/>
  <c r="Z25" i="8"/>
  <c r="Z24" i="8" s="1"/>
  <c r="Y25" i="8"/>
  <c r="Y24" i="8" s="1"/>
  <c r="X25" i="8"/>
  <c r="X24" i="8" s="1"/>
  <c r="W25" i="8"/>
  <c r="W24" i="8" s="1"/>
  <c r="V25" i="8"/>
  <c r="V24" i="8" s="1"/>
  <c r="U25" i="8"/>
  <c r="U24" i="8" s="1"/>
  <c r="T25" i="8"/>
  <c r="T24" i="8" s="1"/>
  <c r="E25" i="8"/>
  <c r="D25" i="8"/>
  <c r="C25" i="8"/>
  <c r="Z23" i="8"/>
  <c r="Z22" i="8" s="1"/>
  <c r="Y23" i="8"/>
  <c r="Y22" i="8" s="1"/>
  <c r="X23" i="8"/>
  <c r="X22" i="8" s="1"/>
  <c r="W23" i="8"/>
  <c r="W22" i="8" s="1"/>
  <c r="V23" i="8"/>
  <c r="V22" i="8" s="1"/>
  <c r="U23" i="8"/>
  <c r="U22" i="8" s="1"/>
  <c r="T23" i="8"/>
  <c r="T22" i="8" s="1"/>
  <c r="O23" i="8"/>
  <c r="O22" i="8" s="1"/>
  <c r="E23" i="8"/>
  <c r="D23" i="8"/>
  <c r="C23" i="8"/>
  <c r="Z21" i="8"/>
  <c r="Z20" i="8" s="1"/>
  <c r="Y21" i="8"/>
  <c r="Y20" i="8" s="1"/>
  <c r="X21" i="8"/>
  <c r="X20" i="8" s="1"/>
  <c r="W21" i="8"/>
  <c r="W20" i="8" s="1"/>
  <c r="V21" i="8"/>
  <c r="V20" i="8" s="1"/>
  <c r="U21" i="8"/>
  <c r="U20" i="8" s="1"/>
  <c r="T21" i="8"/>
  <c r="T20" i="8" s="1"/>
  <c r="R21" i="8"/>
  <c r="R20" i="8" s="1"/>
  <c r="E21" i="8"/>
  <c r="D21" i="8"/>
  <c r="C21" i="8"/>
  <c r="Z19" i="8"/>
  <c r="Z18" i="8" s="1"/>
  <c r="Y19" i="8"/>
  <c r="Y18" i="8" s="1"/>
  <c r="X19" i="8"/>
  <c r="X18" i="8" s="1"/>
  <c r="W19" i="8"/>
  <c r="W18" i="8" s="1"/>
  <c r="V19" i="8"/>
  <c r="V18" i="8" s="1"/>
  <c r="U19" i="8"/>
  <c r="U18" i="8" s="1"/>
  <c r="T19" i="8"/>
  <c r="T18" i="8" s="1"/>
  <c r="E19" i="8"/>
  <c r="D19" i="8"/>
  <c r="C19" i="8"/>
  <c r="Z17" i="8"/>
  <c r="Z16" i="8" s="1"/>
  <c r="Y17" i="8"/>
  <c r="Y16" i="8" s="1"/>
  <c r="X17" i="8"/>
  <c r="X16" i="8" s="1"/>
  <c r="W17" i="8"/>
  <c r="W16" i="8" s="1"/>
  <c r="V17" i="8"/>
  <c r="V16" i="8" s="1"/>
  <c r="U17" i="8"/>
  <c r="U16" i="8" s="1"/>
  <c r="T17" i="8"/>
  <c r="T16" i="8" s="1"/>
  <c r="E17" i="8"/>
  <c r="D17" i="8"/>
  <c r="C17" i="8"/>
  <c r="Z15" i="8"/>
  <c r="Z14" i="8" s="1"/>
  <c r="Y15" i="8"/>
  <c r="Y14" i="8" s="1"/>
  <c r="X15" i="8"/>
  <c r="X14" i="8" s="1"/>
  <c r="W15" i="8"/>
  <c r="W14" i="8" s="1"/>
  <c r="V15" i="8"/>
  <c r="V14" i="8" s="1"/>
  <c r="U15" i="8"/>
  <c r="U14" i="8" s="1"/>
  <c r="T15" i="8"/>
  <c r="T14" i="8" s="1"/>
  <c r="O15" i="8"/>
  <c r="O14" i="8" s="1"/>
  <c r="E15" i="8"/>
  <c r="D15" i="8"/>
  <c r="C15" i="8"/>
  <c r="Z13" i="8"/>
  <c r="Z12" i="8" s="1"/>
  <c r="Y13" i="8"/>
  <c r="Y12" i="8" s="1"/>
  <c r="X13" i="8"/>
  <c r="X12" i="8" s="1"/>
  <c r="W13" i="8"/>
  <c r="W12" i="8" s="1"/>
  <c r="V13" i="8"/>
  <c r="V12" i="8" s="1"/>
  <c r="U13" i="8"/>
  <c r="U12" i="8" s="1"/>
  <c r="T13" i="8"/>
  <c r="T12" i="8" s="1"/>
  <c r="R13" i="8"/>
  <c r="R12" i="8" s="1"/>
  <c r="E13" i="8"/>
  <c r="D13" i="8"/>
  <c r="C13" i="8"/>
  <c r="Z11" i="8"/>
  <c r="Y11" i="8"/>
  <c r="X11" i="8"/>
  <c r="W11" i="8"/>
  <c r="V11" i="8"/>
  <c r="U11" i="8"/>
  <c r="T11" i="8"/>
  <c r="E11" i="8"/>
  <c r="D11" i="8"/>
  <c r="C11" i="8"/>
  <c r="B11" i="8"/>
  <c r="H11" i="8" s="1"/>
  <c r="Z10" i="8"/>
  <c r="W8" i="8" s="1"/>
  <c r="Y10" i="8"/>
  <c r="X10" i="8"/>
  <c r="W6" i="8" s="1"/>
  <c r="W10" i="8"/>
  <c r="W5" i="8" s="1"/>
  <c r="V10" i="8"/>
  <c r="S8" i="8" s="1"/>
  <c r="T8" i="8" s="1"/>
  <c r="U10" i="8"/>
  <c r="S7" i="8" s="1"/>
  <c r="T7" i="8" s="1"/>
  <c r="T10" i="8"/>
  <c r="S10" i="8"/>
  <c r="S5" i="8" s="1"/>
  <c r="T5" i="8" s="1"/>
  <c r="R10" i="8"/>
  <c r="R27" i="8" s="1"/>
  <c r="R26" i="8" s="1"/>
  <c r="Q10" i="8"/>
  <c r="P6" i="8" s="1"/>
  <c r="Q6" i="8" s="1"/>
  <c r="P10" i="8"/>
  <c r="O10" i="8"/>
  <c r="O29" i="8" s="1"/>
  <c r="O28" i="8" s="1"/>
  <c r="N10" i="8"/>
  <c r="W7" i="8"/>
  <c r="P7" i="8"/>
  <c r="Q7" i="8" s="1"/>
  <c r="T6" i="8"/>
  <c r="S6" i="8"/>
  <c r="P5" i="8"/>
  <c r="Q5" i="8" s="1"/>
  <c r="N5" i="8"/>
  <c r="M5" i="8"/>
  <c r="Y3" i="8"/>
  <c r="U3" i="8"/>
  <c r="X3" i="8" s="1"/>
  <c r="T3" i="8"/>
  <c r="M3" i="8"/>
  <c r="U2" i="8"/>
  <c r="X2" i="8" s="1"/>
  <c r="T2" i="8"/>
  <c r="Y2" i="8" s="1"/>
  <c r="Q2" i="8"/>
  <c r="P2" i="8"/>
  <c r="N2" i="8"/>
  <c r="M2" i="8"/>
  <c r="Y3" i="6"/>
  <c r="U3" i="6"/>
  <c r="Y2" i="6"/>
  <c r="U2" i="6"/>
  <c r="X2" i="6" s="1"/>
  <c r="M2" i="6"/>
  <c r="P2" i="6" s="1"/>
  <c r="T26" i="2"/>
  <c r="T27" i="2" s="1"/>
  <c r="W9" i="2"/>
  <c r="AA9" i="2"/>
  <c r="S9" i="2"/>
  <c r="O9" i="2"/>
  <c r="K9" i="2"/>
  <c r="G9" i="2"/>
  <c r="X3" i="6"/>
  <c r="T3" i="6"/>
  <c r="T2" i="6"/>
  <c r="M3" i="6"/>
  <c r="O10" i="6"/>
  <c r="M7" i="6" s="1"/>
  <c r="N7" i="6" s="1"/>
  <c r="N10" i="6"/>
  <c r="R10" i="6"/>
  <c r="P7" i="6" s="1"/>
  <c r="Q7" i="6" s="1"/>
  <c r="Q10" i="6"/>
  <c r="P6" i="6" s="1"/>
  <c r="Q6" i="6" s="1"/>
  <c r="P10" i="6"/>
  <c r="P5" i="6" s="1"/>
  <c r="Q5" i="6" s="1"/>
  <c r="M5" i="6"/>
  <c r="N5" i="6" s="1"/>
  <c r="Z10" i="6"/>
  <c r="W8" i="6" s="1"/>
  <c r="Y10" i="6"/>
  <c r="W7" i="6" s="1"/>
  <c r="X10" i="6"/>
  <c r="W6" i="6" s="1"/>
  <c r="W10" i="6"/>
  <c r="W5" i="6" s="1"/>
  <c r="U10" i="6"/>
  <c r="S7" i="6" s="1"/>
  <c r="T7" i="6" s="1"/>
  <c r="V10" i="6"/>
  <c r="S8" i="6" s="1"/>
  <c r="T8" i="6" s="1"/>
  <c r="T10" i="6"/>
  <c r="S6" i="6" s="1"/>
  <c r="T6" i="6" s="1"/>
  <c r="S10" i="6"/>
  <c r="S5" i="6" s="1"/>
  <c r="T5" i="6" s="1"/>
  <c r="A63" i="1"/>
  <c r="A59" i="1"/>
  <c r="A55" i="1"/>
  <c r="A51" i="1"/>
  <c r="E31" i="6"/>
  <c r="D31" i="6"/>
  <c r="C31" i="6"/>
  <c r="E29" i="6"/>
  <c r="D29" i="6"/>
  <c r="C29" i="6"/>
  <c r="E27" i="6"/>
  <c r="D27" i="6"/>
  <c r="C27" i="6"/>
  <c r="E25" i="6"/>
  <c r="D25" i="6"/>
  <c r="C25" i="6"/>
  <c r="E23" i="6"/>
  <c r="D23" i="6"/>
  <c r="C23" i="6"/>
  <c r="E21" i="6"/>
  <c r="D21" i="6"/>
  <c r="C21" i="6"/>
  <c r="E19" i="6"/>
  <c r="D19" i="6"/>
  <c r="C19" i="6"/>
  <c r="E17" i="6"/>
  <c r="D17" i="6"/>
  <c r="C17" i="6"/>
  <c r="E15" i="6"/>
  <c r="D15" i="6"/>
  <c r="C15" i="6"/>
  <c r="E13" i="6"/>
  <c r="D13" i="6"/>
  <c r="C13" i="6"/>
  <c r="E11" i="6"/>
  <c r="D11" i="6"/>
  <c r="C11" i="6"/>
  <c r="B6" i="6"/>
  <c r="B11" i="6"/>
  <c r="B12" i="6" s="1"/>
  <c r="R6" i="1"/>
  <c r="R10" i="1"/>
  <c r="R4" i="1" s="1"/>
  <c r="R14" i="1"/>
  <c r="R20" i="1"/>
  <c r="P3" i="6" l="1"/>
  <c r="Q3" i="6"/>
  <c r="Q3" i="8"/>
  <c r="N3" i="8"/>
  <c r="Q3" i="9"/>
  <c r="N3" i="9"/>
  <c r="Q3" i="10"/>
  <c r="P3" i="10"/>
  <c r="N3" i="10"/>
  <c r="Q3" i="11"/>
  <c r="N3" i="11"/>
  <c r="N3" i="12"/>
  <c r="Q3" i="12"/>
  <c r="P3" i="12"/>
  <c r="O8" i="4"/>
  <c r="P23" i="4"/>
  <c r="P20" i="4"/>
  <c r="P17" i="4"/>
  <c r="P14" i="4"/>
  <c r="P11" i="4"/>
  <c r="B14" i="10"/>
  <c r="G13" i="10"/>
  <c r="B12" i="9"/>
  <c r="U2" i="13"/>
  <c r="X2" i="13" s="1"/>
  <c r="M7" i="13"/>
  <c r="N7" i="13" s="1"/>
  <c r="O11" i="13"/>
  <c r="B12" i="13"/>
  <c r="R17" i="13"/>
  <c r="R16" i="13" s="1"/>
  <c r="O19" i="13"/>
  <c r="O18" i="13" s="1"/>
  <c r="R25" i="13"/>
  <c r="R24" i="13" s="1"/>
  <c r="O27" i="13"/>
  <c r="O26" i="13" s="1"/>
  <c r="N3" i="13"/>
  <c r="P3" i="13"/>
  <c r="F11" i="13"/>
  <c r="R11" i="13"/>
  <c r="O13" i="13"/>
  <c r="O12" i="13" s="1"/>
  <c r="R19" i="13"/>
  <c r="R18" i="13" s="1"/>
  <c r="O21" i="13"/>
  <c r="O20" i="13" s="1"/>
  <c r="G11" i="13"/>
  <c r="R13" i="12"/>
  <c r="R12" i="12" s="1"/>
  <c r="O15" i="12"/>
  <c r="O14" i="12" s="1"/>
  <c r="R21" i="12"/>
  <c r="R20" i="12" s="1"/>
  <c r="O23" i="12"/>
  <c r="O22" i="12" s="1"/>
  <c r="R29" i="12"/>
  <c r="R28" i="12" s="1"/>
  <c r="O31" i="12"/>
  <c r="O30" i="12" s="1"/>
  <c r="O17" i="12"/>
  <c r="O16" i="12" s="1"/>
  <c r="O25" i="12"/>
  <c r="O24" i="12" s="1"/>
  <c r="R31" i="12"/>
  <c r="R30" i="12" s="1"/>
  <c r="U2" i="12"/>
  <c r="X2" i="12" s="1"/>
  <c r="M7" i="12"/>
  <c r="N7" i="12" s="1"/>
  <c r="O11" i="12"/>
  <c r="B12" i="12"/>
  <c r="R17" i="12"/>
  <c r="R16" i="12" s="1"/>
  <c r="O19" i="12"/>
  <c r="O18" i="12" s="1"/>
  <c r="R25" i="12"/>
  <c r="R24" i="12" s="1"/>
  <c r="O27" i="12"/>
  <c r="O26" i="12" s="1"/>
  <c r="F11" i="12"/>
  <c r="O13" i="12"/>
  <c r="O12" i="12" s="1"/>
  <c r="R19" i="12"/>
  <c r="R18" i="12" s="1"/>
  <c r="O21" i="12"/>
  <c r="O20" i="12" s="1"/>
  <c r="G11" i="12"/>
  <c r="R15" i="11"/>
  <c r="R14" i="11" s="1"/>
  <c r="O17" i="11"/>
  <c r="O16" i="11" s="1"/>
  <c r="R23" i="11"/>
  <c r="R22" i="11" s="1"/>
  <c r="O25" i="11"/>
  <c r="O24" i="11" s="1"/>
  <c r="R31" i="11"/>
  <c r="R30" i="11" s="1"/>
  <c r="M7" i="11"/>
  <c r="N7" i="11" s="1"/>
  <c r="O11" i="11"/>
  <c r="B12" i="11"/>
  <c r="R17" i="11"/>
  <c r="R16" i="11" s="1"/>
  <c r="O19" i="11"/>
  <c r="O18" i="11" s="1"/>
  <c r="R25" i="11"/>
  <c r="R24" i="11" s="1"/>
  <c r="O27" i="11"/>
  <c r="O26" i="11" s="1"/>
  <c r="P7" i="11"/>
  <c r="Q7" i="11" s="1"/>
  <c r="P3" i="11"/>
  <c r="F11" i="11"/>
  <c r="R11" i="11"/>
  <c r="O13" i="11"/>
  <c r="O12" i="11" s="1"/>
  <c r="R19" i="11"/>
  <c r="R18" i="11" s="1"/>
  <c r="O21" i="11"/>
  <c r="O20" i="11" s="1"/>
  <c r="G11" i="11"/>
  <c r="M6" i="11"/>
  <c r="N6" i="11" s="1"/>
  <c r="H15" i="10"/>
  <c r="G15" i="10"/>
  <c r="F15" i="10"/>
  <c r="B16" i="10"/>
  <c r="N2" i="10"/>
  <c r="U3" i="10"/>
  <c r="X3" i="10" s="1"/>
  <c r="F13" i="10"/>
  <c r="R13" i="10"/>
  <c r="R12" i="10" s="1"/>
  <c r="O15" i="10"/>
  <c r="O14" i="10" s="1"/>
  <c r="R21" i="10"/>
  <c r="R20" i="10" s="1"/>
  <c r="O23" i="10"/>
  <c r="O22" i="10" s="1"/>
  <c r="R29" i="10"/>
  <c r="R28" i="10" s="1"/>
  <c r="O31" i="10"/>
  <c r="O30" i="10" s="1"/>
  <c r="R15" i="10"/>
  <c r="R14" i="10" s="1"/>
  <c r="O17" i="10"/>
  <c r="O16" i="10" s="1"/>
  <c r="R23" i="10"/>
  <c r="R22" i="10" s="1"/>
  <c r="R31" i="10"/>
  <c r="R30" i="10" s="1"/>
  <c r="H13" i="10"/>
  <c r="R17" i="10"/>
  <c r="R16" i="10" s="1"/>
  <c r="R25" i="10"/>
  <c r="R24" i="10" s="1"/>
  <c r="F11" i="10"/>
  <c r="R11" i="10"/>
  <c r="R19" i="10"/>
  <c r="R18" i="10" s="1"/>
  <c r="G11" i="10"/>
  <c r="H11" i="10"/>
  <c r="G11" i="9"/>
  <c r="R13" i="9"/>
  <c r="R12" i="9" s="1"/>
  <c r="O15" i="9"/>
  <c r="O14" i="9" s="1"/>
  <c r="R21" i="9"/>
  <c r="R20" i="9" s="1"/>
  <c r="O23" i="9"/>
  <c r="O22" i="9" s="1"/>
  <c r="R29" i="9"/>
  <c r="R28" i="9" s="1"/>
  <c r="O31" i="9"/>
  <c r="O30" i="9" s="1"/>
  <c r="R15" i="9"/>
  <c r="R14" i="9" s="1"/>
  <c r="R23" i="9"/>
  <c r="R22" i="9" s="1"/>
  <c r="O25" i="9"/>
  <c r="O24" i="9" s="1"/>
  <c r="R31" i="9"/>
  <c r="R30" i="9" s="1"/>
  <c r="U2" i="9"/>
  <c r="X2" i="9" s="1"/>
  <c r="R17" i="9"/>
  <c r="R16" i="9" s="1"/>
  <c r="O19" i="9"/>
  <c r="O18" i="9" s="1"/>
  <c r="R25" i="9"/>
  <c r="R24" i="9" s="1"/>
  <c r="P3" i="9"/>
  <c r="R11" i="9"/>
  <c r="R19" i="9"/>
  <c r="R18" i="9" s="1"/>
  <c r="H11" i="9"/>
  <c r="R15" i="8"/>
  <c r="R14" i="8" s="1"/>
  <c r="O17" i="8"/>
  <c r="O16" i="8" s="1"/>
  <c r="R23" i="8"/>
  <c r="R22" i="8" s="1"/>
  <c r="O25" i="8"/>
  <c r="O24" i="8" s="1"/>
  <c r="R31" i="8"/>
  <c r="R30" i="8" s="1"/>
  <c r="M7" i="8"/>
  <c r="N7" i="8" s="1"/>
  <c r="O11" i="8"/>
  <c r="B12" i="8"/>
  <c r="R17" i="8"/>
  <c r="R16" i="8" s="1"/>
  <c r="O19" i="8"/>
  <c r="O18" i="8" s="1"/>
  <c r="R25" i="8"/>
  <c r="R24" i="8" s="1"/>
  <c r="O27" i="8"/>
  <c r="O26" i="8" s="1"/>
  <c r="P3" i="8"/>
  <c r="F11" i="8"/>
  <c r="R11" i="8"/>
  <c r="O13" i="8"/>
  <c r="O12" i="8" s="1"/>
  <c r="R19" i="8"/>
  <c r="R18" i="8" s="1"/>
  <c r="O21" i="8"/>
  <c r="O20" i="8" s="1"/>
  <c r="G11" i="8"/>
  <c r="M6" i="8"/>
  <c r="N6" i="8" s="1"/>
  <c r="Q2" i="6"/>
  <c r="N3" i="6"/>
  <c r="N2" i="6"/>
  <c r="R17" i="6"/>
  <c r="R19" i="6"/>
  <c r="R21" i="6"/>
  <c r="R23" i="6"/>
  <c r="R11" i="6"/>
  <c r="R15" i="6"/>
  <c r="R25" i="6"/>
  <c r="O29" i="6"/>
  <c r="O28" i="6" s="1"/>
  <c r="R27" i="6"/>
  <c r="R29" i="6"/>
  <c r="R31" i="6"/>
  <c r="R13" i="6"/>
  <c r="M6" i="6"/>
  <c r="N6" i="6" s="1"/>
  <c r="O27" i="6"/>
  <c r="O26" i="6" s="1"/>
  <c r="O31" i="6"/>
  <c r="O30" i="6" s="1"/>
  <c r="O17" i="6"/>
  <c r="O13" i="6"/>
  <c r="O12" i="6" s="1"/>
  <c r="O19" i="6"/>
  <c r="O18" i="6" s="1"/>
  <c r="O15" i="6"/>
  <c r="O14" i="6" s="1"/>
  <c r="O11" i="6"/>
  <c r="O21" i="6"/>
  <c r="O23" i="6"/>
  <c r="O22" i="6" s="1"/>
  <c r="O25" i="6"/>
  <c r="O24" i="6" s="1"/>
  <c r="F13" i="6"/>
  <c r="G11" i="6"/>
  <c r="B14" i="6"/>
  <c r="F11" i="6"/>
  <c r="H11" i="6"/>
  <c r="G13" i="6"/>
  <c r="H13" i="6"/>
  <c r="I13" i="10" l="1"/>
  <c r="P8" i="4"/>
  <c r="L13" i="10"/>
  <c r="F13" i="9"/>
  <c r="B14" i="9"/>
  <c r="H13" i="9"/>
  <c r="G13" i="9"/>
  <c r="K11" i="10"/>
  <c r="H13" i="13"/>
  <c r="G13" i="13"/>
  <c r="B14" i="13"/>
  <c r="F13" i="13"/>
  <c r="K11" i="13"/>
  <c r="J11" i="13"/>
  <c r="L11" i="13"/>
  <c r="I11" i="13"/>
  <c r="L11" i="12"/>
  <c r="I11" i="12"/>
  <c r="J11" i="12"/>
  <c r="K11" i="12"/>
  <c r="B14" i="12"/>
  <c r="H13" i="12"/>
  <c r="G13" i="12"/>
  <c r="F13" i="12"/>
  <c r="L11" i="11"/>
  <c r="G13" i="11"/>
  <c r="B14" i="11"/>
  <c r="F13" i="11"/>
  <c r="H13" i="11"/>
  <c r="J11" i="11"/>
  <c r="I11" i="11"/>
  <c r="K11" i="11"/>
  <c r="I11" i="10"/>
  <c r="J15" i="10"/>
  <c r="K15" i="10"/>
  <c r="J13" i="10"/>
  <c r="I15" i="10"/>
  <c r="L11" i="10"/>
  <c r="L15" i="10"/>
  <c r="J11" i="10"/>
  <c r="K13" i="10"/>
  <c r="H17" i="10"/>
  <c r="G17" i="10"/>
  <c r="F17" i="10"/>
  <c r="B18" i="10"/>
  <c r="J11" i="9"/>
  <c r="K11" i="9"/>
  <c r="I11" i="9"/>
  <c r="L11" i="9"/>
  <c r="B14" i="8"/>
  <c r="F13" i="8"/>
  <c r="H13" i="8"/>
  <c r="G13" i="8"/>
  <c r="J11" i="8"/>
  <c r="I11" i="8"/>
  <c r="L11" i="8"/>
  <c r="K11" i="8"/>
  <c r="O16" i="6"/>
  <c r="O20" i="6"/>
  <c r="J13" i="6"/>
  <c r="R12" i="6"/>
  <c r="I13" i="6"/>
  <c r="K13" i="6"/>
  <c r="K11" i="6"/>
  <c r="B16" i="6"/>
  <c r="F15" i="6"/>
  <c r="G15" i="6"/>
  <c r="H15" i="6"/>
  <c r="L11" i="6"/>
  <c r="J11" i="6"/>
  <c r="I11" i="6"/>
  <c r="L13" i="6"/>
  <c r="H15" i="9" l="1"/>
  <c r="B16" i="9"/>
  <c r="G15" i="9"/>
  <c r="F15" i="9"/>
  <c r="N11" i="10"/>
  <c r="N15" i="10" s="1"/>
  <c r="J13" i="9"/>
  <c r="K13" i="9"/>
  <c r="L13" i="9"/>
  <c r="I13" i="9"/>
  <c r="N13" i="10"/>
  <c r="B16" i="13"/>
  <c r="F15" i="13"/>
  <c r="H15" i="13"/>
  <c r="G15" i="13"/>
  <c r="N11" i="13"/>
  <c r="M11" i="13"/>
  <c r="I13" i="13"/>
  <c r="K13" i="13"/>
  <c r="L13" i="13"/>
  <c r="J13" i="13"/>
  <c r="M11" i="12"/>
  <c r="S11" i="12" s="1"/>
  <c r="K13" i="12"/>
  <c r="J13" i="12"/>
  <c r="I13" i="12"/>
  <c r="L13" i="12"/>
  <c r="H15" i="12"/>
  <c r="G15" i="12"/>
  <c r="F15" i="12"/>
  <c r="B16" i="12"/>
  <c r="N11" i="12"/>
  <c r="B16" i="11"/>
  <c r="H15" i="11"/>
  <c r="G15" i="11"/>
  <c r="F15" i="11"/>
  <c r="N11" i="11"/>
  <c r="M11" i="11"/>
  <c r="K13" i="11"/>
  <c r="L13" i="11"/>
  <c r="I13" i="11"/>
  <c r="J13" i="11"/>
  <c r="M11" i="10"/>
  <c r="M13" i="10"/>
  <c r="S13" i="10" s="1"/>
  <c r="M15" i="10"/>
  <c r="S15" i="10" s="1"/>
  <c r="G19" i="10"/>
  <c r="F19" i="10"/>
  <c r="B20" i="10"/>
  <c r="H19" i="10"/>
  <c r="K17" i="10"/>
  <c r="I17" i="10"/>
  <c r="J17" i="10"/>
  <c r="L17" i="10"/>
  <c r="M11" i="9"/>
  <c r="N11" i="9"/>
  <c r="N11" i="8"/>
  <c r="M11" i="8"/>
  <c r="H15" i="8"/>
  <c r="B16" i="8"/>
  <c r="G15" i="8"/>
  <c r="F15" i="8"/>
  <c r="K13" i="8"/>
  <c r="J13" i="8"/>
  <c r="I13" i="8"/>
  <c r="L13" i="8"/>
  <c r="N13" i="6"/>
  <c r="N11" i="6"/>
  <c r="M13" i="6"/>
  <c r="M11" i="6"/>
  <c r="L15" i="6"/>
  <c r="R14" i="6"/>
  <c r="B18" i="6"/>
  <c r="G17" i="6"/>
  <c r="H17" i="6"/>
  <c r="R16" i="6" s="1"/>
  <c r="F17" i="6"/>
  <c r="I15" i="6"/>
  <c r="J15" i="6"/>
  <c r="K15" i="6"/>
  <c r="N12" i="10" l="1"/>
  <c r="M14" i="10"/>
  <c r="Q15" i="10"/>
  <c r="P13" i="10"/>
  <c r="Q13" i="10"/>
  <c r="N14" i="10"/>
  <c r="K15" i="9"/>
  <c r="L15" i="9"/>
  <c r="J15" i="9"/>
  <c r="I15" i="9"/>
  <c r="N15" i="9" s="1"/>
  <c r="M12" i="10"/>
  <c r="P15" i="10"/>
  <c r="H17" i="9"/>
  <c r="G17" i="9"/>
  <c r="F17" i="9"/>
  <c r="B18" i="9"/>
  <c r="S14" i="10"/>
  <c r="M13" i="9"/>
  <c r="M12" i="9" s="1"/>
  <c r="N13" i="9"/>
  <c r="N12" i="9" s="1"/>
  <c r="M13" i="13"/>
  <c r="N13" i="13"/>
  <c r="N12" i="13" s="1"/>
  <c r="S11" i="13"/>
  <c r="Q11" i="13"/>
  <c r="P11" i="13"/>
  <c r="J15" i="13"/>
  <c r="L15" i="13"/>
  <c r="K15" i="13"/>
  <c r="I15" i="13"/>
  <c r="H17" i="13"/>
  <c r="G17" i="13"/>
  <c r="F17" i="13"/>
  <c r="B18" i="13"/>
  <c r="H17" i="12"/>
  <c r="G17" i="12"/>
  <c r="F17" i="12"/>
  <c r="B18" i="12"/>
  <c r="J15" i="12"/>
  <c r="K15" i="12"/>
  <c r="L15" i="12"/>
  <c r="I15" i="12"/>
  <c r="M13" i="12"/>
  <c r="N13" i="12"/>
  <c r="N12" i="12" s="1"/>
  <c r="Q11" i="12"/>
  <c r="P11" i="12"/>
  <c r="K15" i="11"/>
  <c r="J15" i="11"/>
  <c r="I15" i="11"/>
  <c r="L15" i="11"/>
  <c r="N13" i="11"/>
  <c r="N12" i="11" s="1"/>
  <c r="M13" i="11"/>
  <c r="S11" i="11"/>
  <c r="Q11" i="11"/>
  <c r="P11" i="11"/>
  <c r="H17" i="11"/>
  <c r="G17" i="11"/>
  <c r="F17" i="11"/>
  <c r="B18" i="11"/>
  <c r="S11" i="10"/>
  <c r="S12" i="10" s="1"/>
  <c r="Q11" i="10"/>
  <c r="P11" i="10"/>
  <c r="B22" i="10"/>
  <c r="H21" i="10"/>
  <c r="G21" i="10"/>
  <c r="F21" i="10"/>
  <c r="M17" i="10"/>
  <c r="N17" i="10"/>
  <c r="N16" i="10" s="1"/>
  <c r="J19" i="10"/>
  <c r="L19" i="10"/>
  <c r="K19" i="10"/>
  <c r="I19" i="10"/>
  <c r="S11" i="9"/>
  <c r="Q11" i="9"/>
  <c r="P11" i="9"/>
  <c r="M13" i="8"/>
  <c r="N13" i="8"/>
  <c r="N12" i="8" s="1"/>
  <c r="K15" i="8"/>
  <c r="J15" i="8"/>
  <c r="L15" i="8"/>
  <c r="I15" i="8"/>
  <c r="H17" i="8"/>
  <c r="G17" i="8"/>
  <c r="F17" i="8"/>
  <c r="B18" i="8"/>
  <c r="S11" i="8"/>
  <c r="Q11" i="8"/>
  <c r="P11" i="8"/>
  <c r="Q11" i="6"/>
  <c r="Q13" i="6"/>
  <c r="N15" i="6"/>
  <c r="V11" i="6"/>
  <c r="T11" i="6"/>
  <c r="V13" i="6"/>
  <c r="T13" i="6"/>
  <c r="M12" i="6"/>
  <c r="Z13" i="6"/>
  <c r="Z12" i="6" s="1"/>
  <c r="U13" i="6"/>
  <c r="X13" i="6"/>
  <c r="X12" i="6" s="1"/>
  <c r="W13" i="6"/>
  <c r="W12" i="6" s="1"/>
  <c r="Y13" i="6"/>
  <c r="Y12" i="6" s="1"/>
  <c r="S13" i="6"/>
  <c r="Z11" i="6"/>
  <c r="W11" i="6"/>
  <c r="S11" i="6"/>
  <c r="X11" i="6"/>
  <c r="Y11" i="6"/>
  <c r="U11" i="6"/>
  <c r="M15" i="6"/>
  <c r="P11" i="6"/>
  <c r="L17" i="6"/>
  <c r="K17" i="6"/>
  <c r="I17" i="6"/>
  <c r="J17" i="6"/>
  <c r="B20" i="6"/>
  <c r="H19" i="6"/>
  <c r="R18" i="6" s="1"/>
  <c r="G19" i="6"/>
  <c r="F19" i="6"/>
  <c r="N14" i="9" l="1"/>
  <c r="P14" i="10"/>
  <c r="P12" i="10"/>
  <c r="Q14" i="10"/>
  <c r="M15" i="12"/>
  <c r="S15" i="12" s="1"/>
  <c r="J17" i="9"/>
  <c r="K17" i="9"/>
  <c r="L17" i="9"/>
  <c r="I17" i="9"/>
  <c r="Q12" i="10"/>
  <c r="N15" i="11"/>
  <c r="N14" i="11" s="1"/>
  <c r="M15" i="9"/>
  <c r="S13" i="9"/>
  <c r="S12" i="9" s="1"/>
  <c r="P13" i="9"/>
  <c r="P12" i="9" s="1"/>
  <c r="Q13" i="9"/>
  <c r="Q12" i="9" s="1"/>
  <c r="M15" i="13"/>
  <c r="M14" i="13" s="1"/>
  <c r="B20" i="9"/>
  <c r="F19" i="9"/>
  <c r="G19" i="9"/>
  <c r="H19" i="9"/>
  <c r="H19" i="13"/>
  <c r="G19" i="13"/>
  <c r="F19" i="13"/>
  <c r="B20" i="13"/>
  <c r="K17" i="13"/>
  <c r="L17" i="13"/>
  <c r="J17" i="13"/>
  <c r="I17" i="13"/>
  <c r="M12" i="13"/>
  <c r="S13" i="13"/>
  <c r="S12" i="13" s="1"/>
  <c r="Q13" i="13"/>
  <c r="Q12" i="13" s="1"/>
  <c r="P13" i="13"/>
  <c r="P12" i="13" s="1"/>
  <c r="N15" i="13"/>
  <c r="N14" i="13" s="1"/>
  <c r="N15" i="12"/>
  <c r="N14" i="12" s="1"/>
  <c r="S13" i="12"/>
  <c r="S12" i="12" s="1"/>
  <c r="M12" i="12"/>
  <c r="Q13" i="12"/>
  <c r="Q12" i="12" s="1"/>
  <c r="P13" i="12"/>
  <c r="P12" i="12" s="1"/>
  <c r="H19" i="12"/>
  <c r="G19" i="12"/>
  <c r="F19" i="12"/>
  <c r="B20" i="12"/>
  <c r="L17" i="12"/>
  <c r="K17" i="12"/>
  <c r="J17" i="12"/>
  <c r="I17" i="12"/>
  <c r="M15" i="11"/>
  <c r="M14" i="11" s="1"/>
  <c r="L17" i="11"/>
  <c r="I17" i="11"/>
  <c r="K17" i="11"/>
  <c r="J17" i="11"/>
  <c r="M12" i="11"/>
  <c r="S13" i="11"/>
  <c r="S12" i="11" s="1"/>
  <c r="Q13" i="11"/>
  <c r="Q12" i="11" s="1"/>
  <c r="P13" i="11"/>
  <c r="P12" i="11" s="1"/>
  <c r="H19" i="11"/>
  <c r="G19" i="11"/>
  <c r="F19" i="11"/>
  <c r="B20" i="11"/>
  <c r="M19" i="10"/>
  <c r="N19" i="10"/>
  <c r="N18" i="10" s="1"/>
  <c r="L21" i="10"/>
  <c r="I21" i="10"/>
  <c r="K21" i="10"/>
  <c r="J21" i="10"/>
  <c r="S17" i="10"/>
  <c r="S16" i="10" s="1"/>
  <c r="M16" i="10"/>
  <c r="Q17" i="10"/>
  <c r="Q16" i="10" s="1"/>
  <c r="P17" i="10"/>
  <c r="P16" i="10" s="1"/>
  <c r="H23" i="10"/>
  <c r="G23" i="10"/>
  <c r="F23" i="10"/>
  <c r="B24" i="10"/>
  <c r="M15" i="8"/>
  <c r="H19" i="8"/>
  <c r="G19" i="8"/>
  <c r="F19" i="8"/>
  <c r="B20" i="8"/>
  <c r="N15" i="8"/>
  <c r="N14" i="8" s="1"/>
  <c r="S13" i="8"/>
  <c r="S12" i="8" s="1"/>
  <c r="M12" i="8"/>
  <c r="Q13" i="8"/>
  <c r="Q12" i="8" s="1"/>
  <c r="P13" i="8"/>
  <c r="P12" i="8" s="1"/>
  <c r="L17" i="8"/>
  <c r="J17" i="8"/>
  <c r="I17" i="8"/>
  <c r="K17" i="8"/>
  <c r="Q15" i="6"/>
  <c r="Q14" i="6" s="1"/>
  <c r="N17" i="6"/>
  <c r="N16" i="6" s="1"/>
  <c r="T12" i="6"/>
  <c r="M14" i="6"/>
  <c r="V15" i="6"/>
  <c r="V14" i="6" s="1"/>
  <c r="T15" i="6"/>
  <c r="T14" i="6" s="1"/>
  <c r="V12" i="6"/>
  <c r="U12" i="6"/>
  <c r="S12" i="6"/>
  <c r="Y15" i="6"/>
  <c r="Y14" i="6" s="1"/>
  <c r="S15" i="6"/>
  <c r="S14" i="6" s="1"/>
  <c r="Z15" i="6"/>
  <c r="Z14" i="6" s="1"/>
  <c r="U15" i="6"/>
  <c r="U14" i="6" s="1"/>
  <c r="W15" i="6"/>
  <c r="W14" i="6" s="1"/>
  <c r="X15" i="6"/>
  <c r="X14" i="6" s="1"/>
  <c r="P15" i="6"/>
  <c r="M17" i="6"/>
  <c r="I19" i="6"/>
  <c r="L19" i="6"/>
  <c r="J19" i="6"/>
  <c r="K19" i="6"/>
  <c r="B22" i="6"/>
  <c r="H21" i="6"/>
  <c r="R20" i="6" s="1"/>
  <c r="G21" i="6"/>
  <c r="F21" i="6"/>
  <c r="S15" i="8" l="1"/>
  <c r="S14" i="8" s="1"/>
  <c r="M14" i="8"/>
  <c r="M14" i="12"/>
  <c r="Q15" i="12"/>
  <c r="Q14" i="12" s="1"/>
  <c r="S14" i="12"/>
  <c r="P15" i="12"/>
  <c r="P14" i="12" s="1"/>
  <c r="M14" i="9"/>
  <c r="S15" i="9"/>
  <c r="S14" i="9" s="1"/>
  <c r="Q15" i="9"/>
  <c r="Q14" i="9" s="1"/>
  <c r="P15" i="9"/>
  <c r="P14" i="9" s="1"/>
  <c r="S15" i="13"/>
  <c r="S14" i="13" s="1"/>
  <c r="P15" i="11"/>
  <c r="P14" i="11" s="1"/>
  <c r="Q15" i="11"/>
  <c r="Q14" i="11" s="1"/>
  <c r="S15" i="11"/>
  <c r="S14" i="11" s="1"/>
  <c r="M17" i="9"/>
  <c r="N17" i="9"/>
  <c r="N16" i="9" s="1"/>
  <c r="I19" i="9"/>
  <c r="J19" i="9"/>
  <c r="K19" i="9"/>
  <c r="L19" i="9"/>
  <c r="G21" i="9"/>
  <c r="B22" i="9"/>
  <c r="H21" i="9"/>
  <c r="F21" i="9"/>
  <c r="H21" i="13"/>
  <c r="B22" i="13"/>
  <c r="F21" i="13"/>
  <c r="G21" i="13"/>
  <c r="K19" i="13"/>
  <c r="I19" i="13"/>
  <c r="J19" i="13"/>
  <c r="L19" i="13"/>
  <c r="P15" i="13"/>
  <c r="P14" i="13" s="1"/>
  <c r="M17" i="13"/>
  <c r="N17" i="13"/>
  <c r="N16" i="13" s="1"/>
  <c r="Q15" i="13"/>
  <c r="Q14" i="13" s="1"/>
  <c r="B22" i="12"/>
  <c r="H21" i="12"/>
  <c r="G21" i="12"/>
  <c r="F21" i="12"/>
  <c r="J19" i="12"/>
  <c r="K19" i="12"/>
  <c r="I19" i="12"/>
  <c r="L19" i="12"/>
  <c r="M17" i="12"/>
  <c r="N17" i="12"/>
  <c r="N16" i="12" s="1"/>
  <c r="M17" i="11"/>
  <c r="N17" i="11"/>
  <c r="N16" i="11" s="1"/>
  <c r="B22" i="11"/>
  <c r="F21" i="11"/>
  <c r="G21" i="11"/>
  <c r="H21" i="11"/>
  <c r="J19" i="11"/>
  <c r="I19" i="11"/>
  <c r="K19" i="11"/>
  <c r="L19" i="11"/>
  <c r="S19" i="10"/>
  <c r="S18" i="10" s="1"/>
  <c r="M18" i="10"/>
  <c r="Q19" i="10"/>
  <c r="Q18" i="10" s="1"/>
  <c r="P19" i="10"/>
  <c r="P18" i="10" s="1"/>
  <c r="N21" i="10"/>
  <c r="N20" i="10" s="1"/>
  <c r="M21" i="10"/>
  <c r="H25" i="10"/>
  <c r="G25" i="10"/>
  <c r="F25" i="10"/>
  <c r="B26" i="10"/>
  <c r="I23" i="10"/>
  <c r="J23" i="10"/>
  <c r="K23" i="10"/>
  <c r="L23" i="10"/>
  <c r="P15" i="8"/>
  <c r="P14" i="8" s="1"/>
  <c r="G21" i="8"/>
  <c r="B22" i="8"/>
  <c r="F21" i="8"/>
  <c r="H21" i="8"/>
  <c r="I19" i="8"/>
  <c r="J19" i="8"/>
  <c r="L19" i="8"/>
  <c r="K19" i="8"/>
  <c r="M17" i="8"/>
  <c r="N17" i="8"/>
  <c r="N16" i="8" s="1"/>
  <c r="Q15" i="8"/>
  <c r="Q14" i="8" s="1"/>
  <c r="Q17" i="6"/>
  <c r="Q16" i="6" s="1"/>
  <c r="N19" i="6"/>
  <c r="N18" i="6" s="1"/>
  <c r="M16" i="6"/>
  <c r="V17" i="6"/>
  <c r="V16" i="6" s="1"/>
  <c r="T17" i="6"/>
  <c r="T16" i="6" s="1"/>
  <c r="X17" i="6"/>
  <c r="X16" i="6" s="1"/>
  <c r="Y17" i="6"/>
  <c r="Y16" i="6" s="1"/>
  <c r="S17" i="6"/>
  <c r="S16" i="6" s="1"/>
  <c r="Z17" i="6"/>
  <c r="Z16" i="6" s="1"/>
  <c r="W17" i="6"/>
  <c r="W16" i="6" s="1"/>
  <c r="U17" i="6"/>
  <c r="U16" i="6" s="1"/>
  <c r="M19" i="6"/>
  <c r="P17" i="6"/>
  <c r="P16" i="6" s="1"/>
  <c r="J21" i="6"/>
  <c r="B24" i="6"/>
  <c r="F23" i="6"/>
  <c r="H23" i="6"/>
  <c r="R22" i="6" s="1"/>
  <c r="G23" i="6"/>
  <c r="I21" i="6"/>
  <c r="K21" i="6"/>
  <c r="L21" i="6"/>
  <c r="Q17" i="9" l="1"/>
  <c r="Q16" i="9" s="1"/>
  <c r="P17" i="9"/>
  <c r="P16" i="9" s="1"/>
  <c r="M16" i="9"/>
  <c r="S17" i="9"/>
  <c r="S16" i="9" s="1"/>
  <c r="M19" i="9"/>
  <c r="N19" i="9"/>
  <c r="N18" i="9" s="1"/>
  <c r="I21" i="9"/>
  <c r="J21" i="9"/>
  <c r="K21" i="9"/>
  <c r="L21" i="9"/>
  <c r="F23" i="9"/>
  <c r="H23" i="9"/>
  <c r="G23" i="9"/>
  <c r="B24" i="9"/>
  <c r="S17" i="13"/>
  <c r="S16" i="13" s="1"/>
  <c r="M16" i="13"/>
  <c r="Q17" i="13"/>
  <c r="Q16" i="13" s="1"/>
  <c r="P17" i="13"/>
  <c r="P16" i="13" s="1"/>
  <c r="I21" i="13"/>
  <c r="L21" i="13"/>
  <c r="J21" i="13"/>
  <c r="K21" i="13"/>
  <c r="M19" i="13"/>
  <c r="N19" i="13"/>
  <c r="N18" i="13" s="1"/>
  <c r="H23" i="13"/>
  <c r="G23" i="13"/>
  <c r="F23" i="13"/>
  <c r="B24" i="13"/>
  <c r="H23" i="12"/>
  <c r="G23" i="12"/>
  <c r="F23" i="12"/>
  <c r="B24" i="12"/>
  <c r="M16" i="12"/>
  <c r="S17" i="12"/>
  <c r="S16" i="12" s="1"/>
  <c r="Q17" i="12"/>
  <c r="Q16" i="12" s="1"/>
  <c r="P17" i="12"/>
  <c r="P16" i="12" s="1"/>
  <c r="N19" i="12"/>
  <c r="N18" i="12" s="1"/>
  <c r="M19" i="12"/>
  <c r="I21" i="12"/>
  <c r="K21" i="12"/>
  <c r="L21" i="12"/>
  <c r="J21" i="12"/>
  <c r="N19" i="11"/>
  <c r="N18" i="11" s="1"/>
  <c r="M19" i="11"/>
  <c r="K21" i="11"/>
  <c r="I21" i="11"/>
  <c r="L21" i="11"/>
  <c r="J21" i="11"/>
  <c r="H23" i="11"/>
  <c r="B24" i="11"/>
  <c r="G23" i="11"/>
  <c r="F23" i="11"/>
  <c r="Q17" i="11"/>
  <c r="Q16" i="11" s="1"/>
  <c r="S17" i="11"/>
  <c r="S16" i="11" s="1"/>
  <c r="M16" i="11"/>
  <c r="P17" i="11"/>
  <c r="P16" i="11" s="1"/>
  <c r="N23" i="10"/>
  <c r="N22" i="10" s="1"/>
  <c r="M23" i="10"/>
  <c r="J25" i="10"/>
  <c r="K25" i="10"/>
  <c r="I25" i="10"/>
  <c r="L25" i="10"/>
  <c r="H27" i="10"/>
  <c r="G27" i="10"/>
  <c r="F27" i="10"/>
  <c r="B28" i="10"/>
  <c r="M20" i="10"/>
  <c r="S21" i="10"/>
  <c r="S20" i="10" s="1"/>
  <c r="Q21" i="10"/>
  <c r="Q20" i="10" s="1"/>
  <c r="P21" i="10"/>
  <c r="P20" i="10" s="1"/>
  <c r="M16" i="8"/>
  <c r="S17" i="8"/>
  <c r="S16" i="8" s="1"/>
  <c r="Q17" i="8"/>
  <c r="Q16" i="8" s="1"/>
  <c r="P17" i="8"/>
  <c r="P16" i="8" s="1"/>
  <c r="M19" i="8"/>
  <c r="N19" i="8"/>
  <c r="N18" i="8" s="1"/>
  <c r="H23" i="8"/>
  <c r="G23" i="8"/>
  <c r="F23" i="8"/>
  <c r="B24" i="8"/>
  <c r="K21" i="8"/>
  <c r="J21" i="8"/>
  <c r="I21" i="8"/>
  <c r="L21" i="8"/>
  <c r="Q19" i="6"/>
  <c r="Q18" i="6" s="1"/>
  <c r="N21" i="6"/>
  <c r="N20" i="6" s="1"/>
  <c r="M18" i="6"/>
  <c r="V19" i="6"/>
  <c r="V18" i="6" s="1"/>
  <c r="T19" i="6"/>
  <c r="T18" i="6" s="1"/>
  <c r="W19" i="6"/>
  <c r="W18" i="6" s="1"/>
  <c r="X19" i="6"/>
  <c r="X18" i="6" s="1"/>
  <c r="Z19" i="6"/>
  <c r="Z18" i="6" s="1"/>
  <c r="Y19" i="6"/>
  <c r="Y18" i="6" s="1"/>
  <c r="S19" i="6"/>
  <c r="S18" i="6" s="1"/>
  <c r="U19" i="6"/>
  <c r="U18" i="6" s="1"/>
  <c r="M21" i="6"/>
  <c r="P19" i="6"/>
  <c r="P18" i="6" s="1"/>
  <c r="L23" i="6"/>
  <c r="J23" i="6"/>
  <c r="K23" i="6"/>
  <c r="I23" i="6"/>
  <c r="B26" i="6"/>
  <c r="H25" i="6"/>
  <c r="R24" i="6" s="1"/>
  <c r="F25" i="6"/>
  <c r="G25" i="6"/>
  <c r="J23" i="9" l="1"/>
  <c r="L23" i="9"/>
  <c r="K23" i="9"/>
  <c r="I23" i="9"/>
  <c r="N21" i="9"/>
  <c r="N20" i="9" s="1"/>
  <c r="M21" i="9"/>
  <c r="Q19" i="9"/>
  <c r="Q18" i="9" s="1"/>
  <c r="S19" i="9"/>
  <c r="S18" i="9" s="1"/>
  <c r="M18" i="9"/>
  <c r="P19" i="9"/>
  <c r="P18" i="9" s="1"/>
  <c r="H25" i="9"/>
  <c r="G25" i="9"/>
  <c r="F25" i="9"/>
  <c r="B26" i="9"/>
  <c r="S19" i="13"/>
  <c r="S18" i="13" s="1"/>
  <c r="M18" i="13"/>
  <c r="Q19" i="13"/>
  <c r="Q18" i="13" s="1"/>
  <c r="P19" i="13"/>
  <c r="P18" i="13" s="1"/>
  <c r="M21" i="13"/>
  <c r="N21" i="13"/>
  <c r="N20" i="13" s="1"/>
  <c r="G25" i="13"/>
  <c r="H25" i="13"/>
  <c r="F25" i="13"/>
  <c r="B26" i="13"/>
  <c r="J23" i="13"/>
  <c r="I23" i="13"/>
  <c r="L23" i="13"/>
  <c r="K23" i="13"/>
  <c r="N21" i="12"/>
  <c r="N20" i="12" s="1"/>
  <c r="M21" i="12"/>
  <c r="H25" i="12"/>
  <c r="G25" i="12"/>
  <c r="F25" i="12"/>
  <c r="B26" i="12"/>
  <c r="S19" i="12"/>
  <c r="S18" i="12" s="1"/>
  <c r="M18" i="12"/>
  <c r="Q19" i="12"/>
  <c r="Q18" i="12" s="1"/>
  <c r="P19" i="12"/>
  <c r="P18" i="12" s="1"/>
  <c r="K23" i="12"/>
  <c r="J23" i="12"/>
  <c r="L23" i="12"/>
  <c r="I23" i="12"/>
  <c r="H25" i="11"/>
  <c r="G25" i="11"/>
  <c r="F25" i="11"/>
  <c r="B26" i="11"/>
  <c r="M21" i="11"/>
  <c r="N21" i="11"/>
  <c r="N20" i="11" s="1"/>
  <c r="J23" i="11"/>
  <c r="K23" i="11"/>
  <c r="L23" i="11"/>
  <c r="I23" i="11"/>
  <c r="S19" i="11"/>
  <c r="S18" i="11" s="1"/>
  <c r="M18" i="11"/>
  <c r="Q19" i="11"/>
  <c r="Q18" i="11" s="1"/>
  <c r="P19" i="11"/>
  <c r="P18" i="11" s="1"/>
  <c r="J27" i="10"/>
  <c r="I27" i="10"/>
  <c r="L27" i="10"/>
  <c r="K27" i="10"/>
  <c r="M25" i="10"/>
  <c r="N25" i="10"/>
  <c r="N24" i="10" s="1"/>
  <c r="B30" i="10"/>
  <c r="H29" i="10"/>
  <c r="G29" i="10"/>
  <c r="F29" i="10"/>
  <c r="M22" i="10"/>
  <c r="S23" i="10"/>
  <c r="S22" i="10" s="1"/>
  <c r="Q23" i="10"/>
  <c r="Q22" i="10" s="1"/>
  <c r="P23" i="10"/>
  <c r="P22" i="10" s="1"/>
  <c r="K23" i="8"/>
  <c r="I23" i="8"/>
  <c r="L23" i="8"/>
  <c r="J23" i="8"/>
  <c r="H25" i="8"/>
  <c r="G25" i="8"/>
  <c r="F25" i="8"/>
  <c r="B26" i="8"/>
  <c r="Q19" i="8"/>
  <c r="Q18" i="8" s="1"/>
  <c r="S19" i="8"/>
  <c r="S18" i="8" s="1"/>
  <c r="M18" i="8"/>
  <c r="P19" i="8"/>
  <c r="P18" i="8" s="1"/>
  <c r="M21" i="8"/>
  <c r="N21" i="8"/>
  <c r="N20" i="8" s="1"/>
  <c r="Q21" i="6"/>
  <c r="Q20" i="6" s="1"/>
  <c r="N23" i="6"/>
  <c r="N22" i="6" s="1"/>
  <c r="M20" i="6"/>
  <c r="V21" i="6"/>
  <c r="V20" i="6" s="1"/>
  <c r="T21" i="6"/>
  <c r="T20" i="6" s="1"/>
  <c r="P21" i="6"/>
  <c r="P20" i="6" s="1"/>
  <c r="Y21" i="6"/>
  <c r="Y20" i="6" s="1"/>
  <c r="S21" i="6"/>
  <c r="S20" i="6" s="1"/>
  <c r="W21" i="6"/>
  <c r="W20" i="6" s="1"/>
  <c r="X21" i="6"/>
  <c r="X20" i="6" s="1"/>
  <c r="Z21" i="6"/>
  <c r="Z20" i="6" s="1"/>
  <c r="U21" i="6"/>
  <c r="U20" i="6" s="1"/>
  <c r="M23" i="6"/>
  <c r="J25" i="6"/>
  <c r="L25" i="6"/>
  <c r="K25" i="6"/>
  <c r="I25" i="6"/>
  <c r="B28" i="6"/>
  <c r="F27" i="6"/>
  <c r="G27" i="6"/>
  <c r="H27" i="6"/>
  <c r="R26" i="6" s="1"/>
  <c r="M20" i="9" l="1"/>
  <c r="S21" i="9"/>
  <c r="S20" i="9" s="1"/>
  <c r="Q21" i="9"/>
  <c r="Q20" i="9" s="1"/>
  <c r="P21" i="9"/>
  <c r="P20" i="9" s="1"/>
  <c r="N23" i="9"/>
  <c r="N22" i="9" s="1"/>
  <c r="M23" i="9"/>
  <c r="F27" i="9"/>
  <c r="B28" i="9"/>
  <c r="H27" i="9"/>
  <c r="G27" i="9"/>
  <c r="L25" i="9"/>
  <c r="K25" i="9"/>
  <c r="I25" i="9"/>
  <c r="J25" i="9"/>
  <c r="H27" i="13"/>
  <c r="G27" i="13"/>
  <c r="F27" i="13"/>
  <c r="B28" i="13"/>
  <c r="M20" i="13"/>
  <c r="S21" i="13"/>
  <c r="S20" i="13" s="1"/>
  <c r="Q21" i="13"/>
  <c r="Q20" i="13" s="1"/>
  <c r="P21" i="13"/>
  <c r="P20" i="13" s="1"/>
  <c r="L25" i="13"/>
  <c r="I25" i="13"/>
  <c r="J25" i="13"/>
  <c r="K25" i="13"/>
  <c r="M23" i="13"/>
  <c r="N23" i="13"/>
  <c r="N22" i="13" s="1"/>
  <c r="I25" i="12"/>
  <c r="K25" i="12"/>
  <c r="L25" i="12"/>
  <c r="J25" i="12"/>
  <c r="H27" i="12"/>
  <c r="G27" i="12"/>
  <c r="F27" i="12"/>
  <c r="B28" i="12"/>
  <c r="M23" i="12"/>
  <c r="N23" i="12"/>
  <c r="N22" i="12" s="1"/>
  <c r="S21" i="12"/>
  <c r="S20" i="12" s="1"/>
  <c r="M20" i="12"/>
  <c r="Q21" i="12"/>
  <c r="Q20" i="12" s="1"/>
  <c r="P21" i="12"/>
  <c r="P20" i="12" s="1"/>
  <c r="H27" i="11"/>
  <c r="G27" i="11"/>
  <c r="F27" i="11"/>
  <c r="B28" i="11"/>
  <c r="L25" i="11"/>
  <c r="I25" i="11"/>
  <c r="J25" i="11"/>
  <c r="K25" i="11"/>
  <c r="N23" i="11"/>
  <c r="N22" i="11" s="1"/>
  <c r="M23" i="11"/>
  <c r="M20" i="11"/>
  <c r="S21" i="11"/>
  <c r="S20" i="11" s="1"/>
  <c r="Q21" i="11"/>
  <c r="Q20" i="11" s="1"/>
  <c r="P21" i="11"/>
  <c r="P20" i="11" s="1"/>
  <c r="M27" i="10"/>
  <c r="N27" i="10"/>
  <c r="N26" i="10" s="1"/>
  <c r="J29" i="10"/>
  <c r="L29" i="10"/>
  <c r="I29" i="10"/>
  <c r="K29" i="10"/>
  <c r="H31" i="10"/>
  <c r="G31" i="10"/>
  <c r="F31" i="10"/>
  <c r="S25" i="10"/>
  <c r="S24" i="10" s="1"/>
  <c r="M24" i="10"/>
  <c r="Q25" i="10"/>
  <c r="Q24" i="10" s="1"/>
  <c r="P25" i="10"/>
  <c r="P24" i="10" s="1"/>
  <c r="H27" i="8"/>
  <c r="G27" i="8"/>
  <c r="F27" i="8"/>
  <c r="B28" i="8"/>
  <c r="L25" i="8"/>
  <c r="I25" i="8"/>
  <c r="K25" i="8"/>
  <c r="J25" i="8"/>
  <c r="M23" i="8"/>
  <c r="N23" i="8"/>
  <c r="N22" i="8" s="1"/>
  <c r="S21" i="8"/>
  <c r="S20" i="8" s="1"/>
  <c r="M20" i="8"/>
  <c r="Q21" i="8"/>
  <c r="Q20" i="8" s="1"/>
  <c r="P21" i="8"/>
  <c r="P20" i="8" s="1"/>
  <c r="Q23" i="6"/>
  <c r="Q22" i="6" s="1"/>
  <c r="N25" i="6"/>
  <c r="N24" i="6" s="1"/>
  <c r="M22" i="6"/>
  <c r="V23" i="6"/>
  <c r="V22" i="6" s="1"/>
  <c r="T23" i="6"/>
  <c r="T22" i="6" s="1"/>
  <c r="P23" i="6"/>
  <c r="P22" i="6" s="1"/>
  <c r="W23" i="6"/>
  <c r="W22" i="6" s="1"/>
  <c r="Y23" i="6"/>
  <c r="Y22" i="6" s="1"/>
  <c r="S23" i="6"/>
  <c r="S22" i="6" s="1"/>
  <c r="Z23" i="6"/>
  <c r="Z22" i="6" s="1"/>
  <c r="U23" i="6"/>
  <c r="U22" i="6" s="1"/>
  <c r="X23" i="6"/>
  <c r="X22" i="6" s="1"/>
  <c r="M25" i="6"/>
  <c r="L27" i="6"/>
  <c r="I27" i="6"/>
  <c r="J27" i="6"/>
  <c r="K27" i="6"/>
  <c r="B30" i="6"/>
  <c r="G29" i="6"/>
  <c r="H29" i="6"/>
  <c r="R28" i="6" s="1"/>
  <c r="F29" i="6"/>
  <c r="B30" i="9" l="1"/>
  <c r="G29" i="9"/>
  <c r="H29" i="9"/>
  <c r="F29" i="9"/>
  <c r="I27" i="9"/>
  <c r="J27" i="9"/>
  <c r="K27" i="9"/>
  <c r="L27" i="9"/>
  <c r="M22" i="9"/>
  <c r="Q23" i="9"/>
  <c r="Q22" i="9" s="1"/>
  <c r="P23" i="9"/>
  <c r="P22" i="9" s="1"/>
  <c r="S23" i="9"/>
  <c r="S22" i="9" s="1"/>
  <c r="M25" i="9"/>
  <c r="N25" i="9"/>
  <c r="N24" i="9" s="1"/>
  <c r="B30" i="13"/>
  <c r="F29" i="13"/>
  <c r="H29" i="13"/>
  <c r="G29" i="13"/>
  <c r="N25" i="13"/>
  <c r="N24" i="13" s="1"/>
  <c r="M25" i="13"/>
  <c r="J27" i="13"/>
  <c r="L27" i="13"/>
  <c r="I27" i="13"/>
  <c r="K27" i="13"/>
  <c r="M22" i="13"/>
  <c r="S23" i="13"/>
  <c r="S22" i="13" s="1"/>
  <c r="Q23" i="13"/>
  <c r="Q22" i="13" s="1"/>
  <c r="P23" i="13"/>
  <c r="P22" i="13" s="1"/>
  <c r="M25" i="12"/>
  <c r="N25" i="12"/>
  <c r="N24" i="12" s="1"/>
  <c r="K27" i="12"/>
  <c r="J27" i="12"/>
  <c r="L27" i="12"/>
  <c r="I27" i="12"/>
  <c r="M22" i="12"/>
  <c r="Q23" i="12"/>
  <c r="Q22" i="12" s="1"/>
  <c r="S23" i="12"/>
  <c r="S22" i="12" s="1"/>
  <c r="P23" i="12"/>
  <c r="P22" i="12" s="1"/>
  <c r="G29" i="12"/>
  <c r="B30" i="12"/>
  <c r="H29" i="12"/>
  <c r="F29" i="12"/>
  <c r="M22" i="11"/>
  <c r="S23" i="11"/>
  <c r="S22" i="11" s="1"/>
  <c r="Q23" i="11"/>
  <c r="Q22" i="11" s="1"/>
  <c r="P23" i="11"/>
  <c r="P22" i="11" s="1"/>
  <c r="M25" i="11"/>
  <c r="N25" i="11"/>
  <c r="N24" i="11" s="1"/>
  <c r="B30" i="11"/>
  <c r="F29" i="11"/>
  <c r="G29" i="11"/>
  <c r="H29" i="11"/>
  <c r="J27" i="11"/>
  <c r="I27" i="11"/>
  <c r="L27" i="11"/>
  <c r="K27" i="11"/>
  <c r="L31" i="10"/>
  <c r="K31" i="10"/>
  <c r="I31" i="10"/>
  <c r="J31" i="10"/>
  <c r="N29" i="10"/>
  <c r="N28" i="10" s="1"/>
  <c r="M29" i="10"/>
  <c r="S27" i="10"/>
  <c r="S26" i="10" s="1"/>
  <c r="M26" i="10"/>
  <c r="Q27" i="10"/>
  <c r="Q26" i="10" s="1"/>
  <c r="P27" i="10"/>
  <c r="P26" i="10" s="1"/>
  <c r="M25" i="8"/>
  <c r="N25" i="8"/>
  <c r="N24" i="8" s="1"/>
  <c r="G29" i="8"/>
  <c r="B30" i="8"/>
  <c r="F29" i="8"/>
  <c r="H29" i="8"/>
  <c r="J27" i="8"/>
  <c r="I27" i="8"/>
  <c r="K27" i="8"/>
  <c r="L27" i="8"/>
  <c r="M22" i="8"/>
  <c r="S23" i="8"/>
  <c r="S22" i="8" s="1"/>
  <c r="Q23" i="8"/>
  <c r="Q22" i="8" s="1"/>
  <c r="P23" i="8"/>
  <c r="P22" i="8" s="1"/>
  <c r="Q25" i="6"/>
  <c r="Q24" i="6" s="1"/>
  <c r="M24" i="6"/>
  <c r="V25" i="6"/>
  <c r="V24" i="6" s="1"/>
  <c r="T25" i="6"/>
  <c r="T24" i="6" s="1"/>
  <c r="N27" i="6"/>
  <c r="N26" i="6" s="1"/>
  <c r="P25" i="6"/>
  <c r="P24" i="6" s="1"/>
  <c r="W25" i="6"/>
  <c r="W24" i="6" s="1"/>
  <c r="X25" i="6"/>
  <c r="X24" i="6" s="1"/>
  <c r="Y25" i="6"/>
  <c r="Y24" i="6" s="1"/>
  <c r="S25" i="6"/>
  <c r="S24" i="6" s="1"/>
  <c r="Z25" i="6"/>
  <c r="Z24" i="6" s="1"/>
  <c r="U25" i="6"/>
  <c r="U24" i="6" s="1"/>
  <c r="M27" i="6"/>
  <c r="L29" i="6"/>
  <c r="I29" i="6"/>
  <c r="J29" i="6"/>
  <c r="K29" i="6"/>
  <c r="H31" i="6"/>
  <c r="R30" i="6" s="1"/>
  <c r="G31" i="6"/>
  <c r="F31" i="6"/>
  <c r="M27" i="9" l="1"/>
  <c r="N27" i="9"/>
  <c r="N26" i="9" s="1"/>
  <c r="L29" i="9"/>
  <c r="K29" i="9"/>
  <c r="J29" i="9"/>
  <c r="I29" i="9"/>
  <c r="M24" i="9"/>
  <c r="S25" i="9"/>
  <c r="S24" i="9" s="1"/>
  <c r="Q25" i="9"/>
  <c r="Q24" i="9" s="1"/>
  <c r="P25" i="9"/>
  <c r="P24" i="9" s="1"/>
  <c r="F31" i="9"/>
  <c r="G31" i="9"/>
  <c r="H31" i="9"/>
  <c r="N27" i="13"/>
  <c r="N26" i="13" s="1"/>
  <c r="M27" i="13"/>
  <c r="S25" i="13"/>
  <c r="S24" i="13" s="1"/>
  <c r="M24" i="13"/>
  <c r="Q25" i="13"/>
  <c r="Q24" i="13" s="1"/>
  <c r="P25" i="13"/>
  <c r="P24" i="13" s="1"/>
  <c r="I29" i="13"/>
  <c r="K29" i="13"/>
  <c r="L29" i="13"/>
  <c r="J29" i="13"/>
  <c r="F31" i="13"/>
  <c r="H31" i="13"/>
  <c r="G31" i="13"/>
  <c r="H31" i="12"/>
  <c r="G31" i="12"/>
  <c r="F31" i="12"/>
  <c r="M24" i="12"/>
  <c r="S25" i="12"/>
  <c r="S24" i="12" s="1"/>
  <c r="Q25" i="12"/>
  <c r="Q24" i="12" s="1"/>
  <c r="P25" i="12"/>
  <c r="P24" i="12" s="1"/>
  <c r="N27" i="12"/>
  <c r="N26" i="12" s="1"/>
  <c r="M27" i="12"/>
  <c r="I29" i="12"/>
  <c r="K29" i="12"/>
  <c r="L29" i="12"/>
  <c r="J29" i="12"/>
  <c r="K29" i="11"/>
  <c r="J29" i="11"/>
  <c r="I29" i="11"/>
  <c r="L29" i="11"/>
  <c r="S25" i="11"/>
  <c r="S24" i="11" s="1"/>
  <c r="Q25" i="11"/>
  <c r="Q24" i="11" s="1"/>
  <c r="M24" i="11"/>
  <c r="P25" i="11"/>
  <c r="P24" i="11" s="1"/>
  <c r="H31" i="11"/>
  <c r="G31" i="11"/>
  <c r="F31" i="11"/>
  <c r="N27" i="11"/>
  <c r="N26" i="11" s="1"/>
  <c r="M27" i="11"/>
  <c r="M28" i="10"/>
  <c r="S29" i="10"/>
  <c r="S28" i="10" s="1"/>
  <c r="Q29" i="10"/>
  <c r="Q28" i="10" s="1"/>
  <c r="P29" i="10"/>
  <c r="P28" i="10" s="1"/>
  <c r="M31" i="10"/>
  <c r="N31" i="10"/>
  <c r="N30" i="10" s="1"/>
  <c r="M24" i="8"/>
  <c r="S25" i="8"/>
  <c r="S24" i="8" s="1"/>
  <c r="Q25" i="8"/>
  <c r="Q24" i="8" s="1"/>
  <c r="P25" i="8"/>
  <c r="P24" i="8" s="1"/>
  <c r="M27" i="8"/>
  <c r="N27" i="8"/>
  <c r="N26" i="8" s="1"/>
  <c r="K29" i="8"/>
  <c r="I29" i="8"/>
  <c r="J29" i="8"/>
  <c r="L29" i="8"/>
  <c r="H31" i="8"/>
  <c r="G31" i="8"/>
  <c r="F31" i="8"/>
  <c r="Q27" i="6"/>
  <c r="Q26" i="6" s="1"/>
  <c r="N29" i="6"/>
  <c r="N28" i="6" s="1"/>
  <c r="M26" i="6"/>
  <c r="V27" i="6"/>
  <c r="V26" i="6" s="1"/>
  <c r="T27" i="6"/>
  <c r="T26" i="6" s="1"/>
  <c r="W27" i="6"/>
  <c r="W26" i="6" s="1"/>
  <c r="X27" i="6"/>
  <c r="X26" i="6" s="1"/>
  <c r="Y27" i="6"/>
  <c r="Y26" i="6" s="1"/>
  <c r="S27" i="6"/>
  <c r="S26" i="6" s="1"/>
  <c r="Z27" i="6"/>
  <c r="Z26" i="6" s="1"/>
  <c r="U27" i="6"/>
  <c r="U26" i="6" s="1"/>
  <c r="M29" i="6"/>
  <c r="P27" i="6"/>
  <c r="P26" i="6" s="1"/>
  <c r="J31" i="6"/>
  <c r="L31" i="6"/>
  <c r="I31" i="6"/>
  <c r="K31" i="6"/>
  <c r="L31" i="9" l="1"/>
  <c r="I31" i="9"/>
  <c r="K31" i="9"/>
  <c r="J31" i="9"/>
  <c r="M29" i="9"/>
  <c r="N29" i="9"/>
  <c r="N28" i="9" s="1"/>
  <c r="S27" i="9"/>
  <c r="S26" i="9" s="1"/>
  <c r="M26" i="9"/>
  <c r="Q27" i="9"/>
  <c r="Q26" i="9" s="1"/>
  <c r="P27" i="9"/>
  <c r="P26" i="9" s="1"/>
  <c r="J31" i="13"/>
  <c r="L31" i="13"/>
  <c r="K31" i="13"/>
  <c r="I31" i="13"/>
  <c r="M29" i="13"/>
  <c r="N29" i="13"/>
  <c r="N28" i="13" s="1"/>
  <c r="S27" i="13"/>
  <c r="S26" i="13" s="1"/>
  <c r="M26" i="13"/>
  <c r="Q27" i="13"/>
  <c r="Q26" i="13" s="1"/>
  <c r="P27" i="13"/>
  <c r="P26" i="13" s="1"/>
  <c r="N29" i="12"/>
  <c r="N28" i="12" s="1"/>
  <c r="M29" i="12"/>
  <c r="L31" i="12"/>
  <c r="I31" i="12"/>
  <c r="K31" i="12"/>
  <c r="J31" i="12"/>
  <c r="S27" i="12"/>
  <c r="S26" i="12" s="1"/>
  <c r="M26" i="12"/>
  <c r="Q27" i="12"/>
  <c r="Q26" i="12" s="1"/>
  <c r="P27" i="12"/>
  <c r="P26" i="12" s="1"/>
  <c r="I31" i="11"/>
  <c r="J31" i="11"/>
  <c r="L31" i="11"/>
  <c r="K31" i="11"/>
  <c r="N29" i="11"/>
  <c r="N28" i="11" s="1"/>
  <c r="M29" i="11"/>
  <c r="S27" i="11"/>
  <c r="S26" i="11" s="1"/>
  <c r="M26" i="11"/>
  <c r="Q27" i="11"/>
  <c r="Q26" i="11" s="1"/>
  <c r="P27" i="11"/>
  <c r="P26" i="11" s="1"/>
  <c r="M30" i="10"/>
  <c r="S31" i="10"/>
  <c r="S30" i="10" s="1"/>
  <c r="Q31" i="10"/>
  <c r="Q30" i="10" s="1"/>
  <c r="P31" i="10"/>
  <c r="P30" i="10" s="1"/>
  <c r="N29" i="8"/>
  <c r="N28" i="8" s="1"/>
  <c r="M29" i="8"/>
  <c r="S27" i="8"/>
  <c r="S26" i="8" s="1"/>
  <c r="M26" i="8"/>
  <c r="Q27" i="8"/>
  <c r="Q26" i="8" s="1"/>
  <c r="P27" i="8"/>
  <c r="P26" i="8" s="1"/>
  <c r="I31" i="8"/>
  <c r="L31" i="8"/>
  <c r="K31" i="8"/>
  <c r="J31" i="8"/>
  <c r="Q29" i="6"/>
  <c r="Q28" i="6" s="1"/>
  <c r="M28" i="6"/>
  <c r="T29" i="6"/>
  <c r="T28" i="6" s="1"/>
  <c r="V29" i="6"/>
  <c r="V28" i="6" s="1"/>
  <c r="N31" i="6"/>
  <c r="N30" i="6" s="1"/>
  <c r="W29" i="6"/>
  <c r="W28" i="6" s="1"/>
  <c r="X29" i="6"/>
  <c r="X28" i="6" s="1"/>
  <c r="U29" i="6"/>
  <c r="U28" i="6" s="1"/>
  <c r="Y29" i="6"/>
  <c r="Y28" i="6" s="1"/>
  <c r="S29" i="6"/>
  <c r="S28" i="6" s="1"/>
  <c r="Z29" i="6"/>
  <c r="Z28" i="6" s="1"/>
  <c r="M31" i="6"/>
  <c r="P29" i="6"/>
  <c r="P28" i="6" s="1"/>
  <c r="Q31" i="6" l="1"/>
  <c r="Q30" i="6" s="1"/>
  <c r="M28" i="9"/>
  <c r="P29" i="9"/>
  <c r="P28" i="9" s="1"/>
  <c r="S29" i="9"/>
  <c r="S28" i="9" s="1"/>
  <c r="Q29" i="9"/>
  <c r="Q28" i="9" s="1"/>
  <c r="N31" i="9"/>
  <c r="N30" i="9" s="1"/>
  <c r="M31" i="9"/>
  <c r="M28" i="13"/>
  <c r="S29" i="13"/>
  <c r="S28" i="13" s="1"/>
  <c r="Q29" i="13"/>
  <c r="Q28" i="13" s="1"/>
  <c r="P29" i="13"/>
  <c r="P28" i="13" s="1"/>
  <c r="M31" i="13"/>
  <c r="N31" i="13"/>
  <c r="N30" i="13" s="1"/>
  <c r="S29" i="12"/>
  <c r="S28" i="12" s="1"/>
  <c r="M28" i="12"/>
  <c r="Q29" i="12"/>
  <c r="Q28" i="12" s="1"/>
  <c r="P29" i="12"/>
  <c r="P28" i="12" s="1"/>
  <c r="M31" i="12"/>
  <c r="N31" i="12"/>
  <c r="N30" i="12" s="1"/>
  <c r="M28" i="11"/>
  <c r="S29" i="11"/>
  <c r="S28" i="11" s="1"/>
  <c r="Q29" i="11"/>
  <c r="Q28" i="11" s="1"/>
  <c r="P29" i="11"/>
  <c r="P28" i="11" s="1"/>
  <c r="N31" i="11"/>
  <c r="N30" i="11" s="1"/>
  <c r="M31" i="11"/>
  <c r="M28" i="8"/>
  <c r="S29" i="8"/>
  <c r="S28" i="8" s="1"/>
  <c r="Q29" i="8"/>
  <c r="Q28" i="8" s="1"/>
  <c r="P29" i="8"/>
  <c r="P28" i="8" s="1"/>
  <c r="M31" i="8"/>
  <c r="N31" i="8"/>
  <c r="N30" i="8" s="1"/>
  <c r="M30" i="6"/>
  <c r="V31" i="6"/>
  <c r="V30" i="6" s="1"/>
  <c r="T31" i="6"/>
  <c r="T30" i="6" s="1"/>
  <c r="P31" i="6"/>
  <c r="P30" i="6" s="1"/>
  <c r="W31" i="6"/>
  <c r="W30" i="6" s="1"/>
  <c r="X31" i="6"/>
  <c r="X30" i="6" s="1"/>
  <c r="U31" i="6"/>
  <c r="U30" i="6" s="1"/>
  <c r="Y31" i="6"/>
  <c r="Y30" i="6" s="1"/>
  <c r="S31" i="6"/>
  <c r="S30" i="6" s="1"/>
  <c r="Z31" i="6"/>
  <c r="Z30" i="6" s="1"/>
  <c r="Q31" i="9" l="1"/>
  <c r="Q30" i="9" s="1"/>
  <c r="M30" i="9"/>
  <c r="S31" i="9"/>
  <c r="S30" i="9" s="1"/>
  <c r="P31" i="9"/>
  <c r="P30" i="9" s="1"/>
  <c r="M30" i="13"/>
  <c r="Q31" i="13"/>
  <c r="Q30" i="13" s="1"/>
  <c r="S31" i="13"/>
  <c r="S30" i="13" s="1"/>
  <c r="P31" i="13"/>
  <c r="P30" i="13" s="1"/>
  <c r="M30" i="12"/>
  <c r="S31" i="12"/>
  <c r="S30" i="12" s="1"/>
  <c r="Q31" i="12"/>
  <c r="Q30" i="12" s="1"/>
  <c r="P31" i="12"/>
  <c r="P30" i="12" s="1"/>
  <c r="M30" i="11"/>
  <c r="S31" i="11"/>
  <c r="S30" i="11" s="1"/>
  <c r="Q31" i="11"/>
  <c r="Q30" i="11" s="1"/>
  <c r="P31" i="11"/>
  <c r="P30" i="11" s="1"/>
  <c r="M30" i="8"/>
  <c r="S31" i="8"/>
  <c r="S30" i="8" s="1"/>
  <c r="Q31" i="8"/>
  <c r="Q30" i="8" s="1"/>
  <c r="P31" i="8"/>
  <c r="P30" i="8" s="1"/>
  <c r="T22" i="2"/>
  <c r="T23" i="2" s="1"/>
  <c r="T18" i="2"/>
  <c r="T19" i="2" s="1"/>
  <c r="T14" i="2"/>
  <c r="T15" i="2" s="1"/>
  <c r="AE8" i="2"/>
  <c r="AA8" i="2"/>
  <c r="W8" i="2"/>
  <c r="S8" i="2"/>
  <c r="O8" i="2"/>
  <c r="K8" i="2"/>
  <c r="G8" i="2"/>
  <c r="R3" i="2"/>
  <c r="Q3" i="2"/>
  <c r="P3" i="2"/>
  <c r="O3" i="2"/>
  <c r="R82" i="1"/>
  <c r="R78" i="1"/>
  <c r="R74" i="1"/>
  <c r="R70" i="1"/>
  <c r="R64" i="1"/>
  <c r="R60" i="1"/>
  <c r="R56" i="1"/>
  <c r="R52" i="1"/>
  <c r="R46" i="1"/>
  <c r="R42" i="1"/>
  <c r="R38" i="1"/>
  <c r="R34" i="1"/>
  <c r="R32" i="1" s="1"/>
  <c r="R28" i="1"/>
  <c r="R24" i="1"/>
  <c r="R18" i="1" s="1"/>
  <c r="T3" i="1" l="1"/>
  <c r="S3" i="2"/>
  <c r="AF8" i="2"/>
  <c r="AF10" i="2"/>
  <c r="AF9" i="2"/>
  <c r="S3" i="1"/>
  <c r="R3" i="1" s="1"/>
  <c r="U3" i="1" s="1"/>
  <c r="N1" i="4" s="1"/>
  <c r="AG8" i="2" l="1"/>
  <c r="M1" i="4" s="1"/>
  <c r="P1" i="4" s="1"/>
  <c r="B8" i="5" l="1"/>
  <c r="A22" i="4"/>
  <c r="I22" i="4" s="1"/>
  <c r="J23" i="4" s="1"/>
  <c r="B11" i="5"/>
  <c r="B12" i="5"/>
  <c r="B13" i="5"/>
  <c r="A13" i="4"/>
  <c r="I13" i="4" s="1"/>
  <c r="J14" i="4" s="1"/>
  <c r="A16" i="4"/>
  <c r="I16" i="4" s="1"/>
  <c r="J17" i="4" s="1"/>
  <c r="A19" i="4"/>
  <c r="I19" i="4" s="1"/>
  <c r="J20" i="4" s="1"/>
  <c r="A4" i="4"/>
  <c r="I4" i="4" s="1"/>
  <c r="J5" i="4" s="1"/>
  <c r="B9" i="5"/>
  <c r="T3" i="2"/>
  <c r="B10" i="5"/>
  <c r="I7" i="4"/>
  <c r="J8" i="4" s="1"/>
  <c r="A10" i="4"/>
  <c r="I10" i="4" s="1"/>
  <c r="J11" i="4" s="1"/>
  <c r="B7" i="5"/>
  <c r="BK48" i="5" l="1"/>
  <c r="BC37" i="5"/>
  <c r="BC47" i="5" s="1"/>
  <c r="BC65" i="5" s="1"/>
  <c r="BC74" i="5" s="1"/>
  <c r="BC83" i="5" s="1"/>
  <c r="BC92" i="5" s="1"/>
  <c r="BC101" i="5" s="1"/>
  <c r="BD37" i="5"/>
  <c r="BD47" i="5" s="1"/>
  <c r="BD56" i="5" s="1"/>
  <c r="BD74" i="5" s="1"/>
  <c r="BD83" i="5" s="1"/>
  <c r="BD92" i="5" s="1"/>
  <c r="BD101" i="5" s="1"/>
  <c r="BE37" i="5"/>
  <c r="BE47" i="5" s="1"/>
  <c r="BE56" i="5" s="1"/>
  <c r="BE65" i="5" s="1"/>
  <c r="BE83" i="5" s="1"/>
  <c r="BE92" i="5" s="1"/>
  <c r="BE101" i="5" s="1"/>
  <c r="BF37" i="5"/>
  <c r="BF47" i="5" s="1"/>
  <c r="BF56" i="5" s="1"/>
  <c r="BF65" i="5" s="1"/>
  <c r="BF74" i="5" s="1"/>
  <c r="BF92" i="5" s="1"/>
  <c r="BF101" i="5" s="1"/>
  <c r="BG37" i="5"/>
  <c r="BG47" i="5" s="1"/>
  <c r="BG56" i="5" s="1"/>
  <c r="BG65" i="5" s="1"/>
  <c r="BG74" i="5" s="1"/>
  <c r="BG83" i="5" s="1"/>
  <c r="BG101" i="5" s="1"/>
  <c r="BH37" i="5"/>
  <c r="BH47" i="5" s="1"/>
  <c r="BH56" i="5" s="1"/>
  <c r="BH65" i="5" s="1"/>
  <c r="BH74" i="5" s="1"/>
  <c r="BH83" i="5" s="1"/>
  <c r="BH92" i="5" s="1"/>
  <c r="BB37" i="5"/>
  <c r="BB56" i="5" s="1"/>
  <c r="BB65" i="5" s="1"/>
  <c r="BB74" i="5" s="1"/>
  <c r="BB83" i="5" s="1"/>
  <c r="BB92" i="5" s="1"/>
  <c r="BB101" i="5" s="1"/>
  <c r="BK51" i="5"/>
  <c r="BC40" i="5"/>
  <c r="BC50" i="5" s="1"/>
  <c r="BC68" i="5" s="1"/>
  <c r="BC77" i="5" s="1"/>
  <c r="BC86" i="5" s="1"/>
  <c r="BC95" i="5" s="1"/>
  <c r="BC104" i="5" s="1"/>
  <c r="BD40" i="5"/>
  <c r="BD50" i="5" s="1"/>
  <c r="BD59" i="5" s="1"/>
  <c r="BD77" i="5" s="1"/>
  <c r="BD86" i="5" s="1"/>
  <c r="BD95" i="5" s="1"/>
  <c r="BD104" i="5" s="1"/>
  <c r="BE40" i="5"/>
  <c r="BE50" i="5" s="1"/>
  <c r="BE59" i="5" s="1"/>
  <c r="BE68" i="5" s="1"/>
  <c r="BE86" i="5" s="1"/>
  <c r="BE95" i="5" s="1"/>
  <c r="BE104" i="5" s="1"/>
  <c r="BF40" i="5"/>
  <c r="BF50" i="5" s="1"/>
  <c r="BF59" i="5" s="1"/>
  <c r="BF68" i="5" s="1"/>
  <c r="BF77" i="5" s="1"/>
  <c r="BF95" i="5" s="1"/>
  <c r="BF104" i="5" s="1"/>
  <c r="BG40" i="5"/>
  <c r="BG50" i="5" s="1"/>
  <c r="BG59" i="5" s="1"/>
  <c r="BG68" i="5" s="1"/>
  <c r="BG77" i="5" s="1"/>
  <c r="BG86" i="5" s="1"/>
  <c r="BG104" i="5" s="1"/>
  <c r="BH40" i="5"/>
  <c r="BH50" i="5" s="1"/>
  <c r="BH59" i="5" s="1"/>
  <c r="BH68" i="5" s="1"/>
  <c r="BH77" i="5" s="1"/>
  <c r="BH86" i="5" s="1"/>
  <c r="BH95" i="5" s="1"/>
  <c r="BB40" i="5"/>
  <c r="BB59" i="5" s="1"/>
  <c r="BB68" i="5" s="1"/>
  <c r="BB77" i="5" s="1"/>
  <c r="BB86" i="5" s="1"/>
  <c r="BB95" i="5" s="1"/>
  <c r="BB104" i="5" s="1"/>
  <c r="BK50" i="5"/>
  <c r="BC39" i="5"/>
  <c r="BC49" i="5" s="1"/>
  <c r="BC67" i="5" s="1"/>
  <c r="BC76" i="5" s="1"/>
  <c r="BC85" i="5" s="1"/>
  <c r="BC94" i="5" s="1"/>
  <c r="BC103" i="5" s="1"/>
  <c r="BD39" i="5"/>
  <c r="BD49" i="5" s="1"/>
  <c r="BD58" i="5" s="1"/>
  <c r="BD76" i="5" s="1"/>
  <c r="BD85" i="5" s="1"/>
  <c r="BD94" i="5" s="1"/>
  <c r="BD103" i="5" s="1"/>
  <c r="BE39" i="5"/>
  <c r="BE49" i="5" s="1"/>
  <c r="BE58" i="5" s="1"/>
  <c r="BE67" i="5" s="1"/>
  <c r="BE85" i="5" s="1"/>
  <c r="BE94" i="5" s="1"/>
  <c r="BE103" i="5" s="1"/>
  <c r="BF39" i="5"/>
  <c r="BF49" i="5" s="1"/>
  <c r="BF58" i="5" s="1"/>
  <c r="BF67" i="5" s="1"/>
  <c r="BF76" i="5" s="1"/>
  <c r="BF94" i="5" s="1"/>
  <c r="BF103" i="5" s="1"/>
  <c r="BG39" i="5"/>
  <c r="BG49" i="5" s="1"/>
  <c r="BG58" i="5" s="1"/>
  <c r="BG67" i="5" s="1"/>
  <c r="BG76" i="5" s="1"/>
  <c r="BG85" i="5" s="1"/>
  <c r="BG103" i="5" s="1"/>
  <c r="BH39" i="5"/>
  <c r="BH49" i="5" s="1"/>
  <c r="BH58" i="5" s="1"/>
  <c r="BH67" i="5" s="1"/>
  <c r="BH76" i="5" s="1"/>
  <c r="BH85" i="5" s="1"/>
  <c r="BH94" i="5" s="1"/>
  <c r="BB39" i="5"/>
  <c r="BB58" i="5" s="1"/>
  <c r="BB67" i="5" s="1"/>
  <c r="BB76" i="5" s="1"/>
  <c r="BB85" i="5" s="1"/>
  <c r="BB94" i="5" s="1"/>
  <c r="BB103" i="5" s="1"/>
  <c r="BK54" i="5"/>
  <c r="BC43" i="5"/>
  <c r="BC53" i="5" s="1"/>
  <c r="BC71" i="5" s="1"/>
  <c r="BC80" i="5" s="1"/>
  <c r="BC89" i="5" s="1"/>
  <c r="BC98" i="5" s="1"/>
  <c r="BC107" i="5" s="1"/>
  <c r="BD43" i="5"/>
  <c r="BD53" i="5" s="1"/>
  <c r="BD62" i="5" s="1"/>
  <c r="BD80" i="5" s="1"/>
  <c r="BD89" i="5" s="1"/>
  <c r="BD98" i="5" s="1"/>
  <c r="BD107" i="5" s="1"/>
  <c r="BE43" i="5"/>
  <c r="BE53" i="5" s="1"/>
  <c r="BE62" i="5" s="1"/>
  <c r="BE71" i="5" s="1"/>
  <c r="BE89" i="5" s="1"/>
  <c r="BE98" i="5" s="1"/>
  <c r="BE107" i="5" s="1"/>
  <c r="BF43" i="5"/>
  <c r="BF53" i="5" s="1"/>
  <c r="BF62" i="5" s="1"/>
  <c r="BF71" i="5" s="1"/>
  <c r="BF80" i="5" s="1"/>
  <c r="BF98" i="5" s="1"/>
  <c r="BF107" i="5" s="1"/>
  <c r="BG43" i="5"/>
  <c r="BG53" i="5" s="1"/>
  <c r="BG62" i="5" s="1"/>
  <c r="BG71" i="5" s="1"/>
  <c r="BG80" i="5" s="1"/>
  <c r="BG89" i="5" s="1"/>
  <c r="BG107" i="5" s="1"/>
  <c r="BH43" i="5"/>
  <c r="BH53" i="5" s="1"/>
  <c r="BH62" i="5" s="1"/>
  <c r="BH71" i="5" s="1"/>
  <c r="BH80" i="5" s="1"/>
  <c r="BH89" i="5" s="1"/>
  <c r="BH98" i="5" s="1"/>
  <c r="BB43" i="5"/>
  <c r="BB62" i="5" s="1"/>
  <c r="BB71" i="5" s="1"/>
  <c r="BB80" i="5" s="1"/>
  <c r="BB89" i="5" s="1"/>
  <c r="BB98" i="5" s="1"/>
  <c r="BB107" i="5" s="1"/>
  <c r="BK53" i="5"/>
  <c r="BC42" i="5"/>
  <c r="BC52" i="5" s="1"/>
  <c r="BC70" i="5" s="1"/>
  <c r="BC79" i="5" s="1"/>
  <c r="BC88" i="5" s="1"/>
  <c r="BC97" i="5" s="1"/>
  <c r="BC106" i="5" s="1"/>
  <c r="BD42" i="5"/>
  <c r="BD52" i="5" s="1"/>
  <c r="BD61" i="5" s="1"/>
  <c r="BD79" i="5" s="1"/>
  <c r="BD88" i="5" s="1"/>
  <c r="BD97" i="5" s="1"/>
  <c r="BD106" i="5" s="1"/>
  <c r="BE42" i="5"/>
  <c r="BE52" i="5" s="1"/>
  <c r="BE61" i="5" s="1"/>
  <c r="BE70" i="5" s="1"/>
  <c r="BE88" i="5" s="1"/>
  <c r="BE97" i="5" s="1"/>
  <c r="BE106" i="5" s="1"/>
  <c r="BF42" i="5"/>
  <c r="BF52" i="5" s="1"/>
  <c r="BF61" i="5" s="1"/>
  <c r="BF70" i="5" s="1"/>
  <c r="BF79" i="5" s="1"/>
  <c r="BF97" i="5" s="1"/>
  <c r="BF106" i="5" s="1"/>
  <c r="BG42" i="5"/>
  <c r="BG52" i="5" s="1"/>
  <c r="BG61" i="5" s="1"/>
  <c r="BG70" i="5" s="1"/>
  <c r="BG79" i="5" s="1"/>
  <c r="BG88" i="5" s="1"/>
  <c r="BG106" i="5" s="1"/>
  <c r="BH42" i="5"/>
  <c r="BH52" i="5" s="1"/>
  <c r="BH61" i="5" s="1"/>
  <c r="BH70" i="5" s="1"/>
  <c r="BH79" i="5" s="1"/>
  <c r="BH88" i="5" s="1"/>
  <c r="BH97" i="5" s="1"/>
  <c r="BB42" i="5"/>
  <c r="BB61" i="5" s="1"/>
  <c r="BB70" i="5" s="1"/>
  <c r="BB79" i="5" s="1"/>
  <c r="BB88" i="5" s="1"/>
  <c r="BB97" i="5" s="1"/>
  <c r="BB106" i="5" s="1"/>
  <c r="BK52" i="5"/>
  <c r="BC41" i="5"/>
  <c r="BC51" i="5" s="1"/>
  <c r="BC69" i="5" s="1"/>
  <c r="BC78" i="5" s="1"/>
  <c r="BC87" i="5" s="1"/>
  <c r="BC96" i="5" s="1"/>
  <c r="BC105" i="5" s="1"/>
  <c r="BD41" i="5"/>
  <c r="BD51" i="5" s="1"/>
  <c r="BD60" i="5" s="1"/>
  <c r="BD78" i="5" s="1"/>
  <c r="BD87" i="5" s="1"/>
  <c r="BD96" i="5" s="1"/>
  <c r="BD105" i="5" s="1"/>
  <c r="BE41" i="5"/>
  <c r="BE51" i="5" s="1"/>
  <c r="BE60" i="5" s="1"/>
  <c r="BE69" i="5" s="1"/>
  <c r="BE87" i="5" s="1"/>
  <c r="BE96" i="5" s="1"/>
  <c r="BE105" i="5" s="1"/>
  <c r="BF41" i="5"/>
  <c r="BF51" i="5" s="1"/>
  <c r="BF60" i="5" s="1"/>
  <c r="BF69" i="5" s="1"/>
  <c r="BF78" i="5" s="1"/>
  <c r="BF96" i="5" s="1"/>
  <c r="BF105" i="5" s="1"/>
  <c r="BG41" i="5"/>
  <c r="BG51" i="5" s="1"/>
  <c r="BG60" i="5" s="1"/>
  <c r="BG69" i="5" s="1"/>
  <c r="BG78" i="5" s="1"/>
  <c r="BG87" i="5" s="1"/>
  <c r="BG105" i="5" s="1"/>
  <c r="BH41" i="5"/>
  <c r="BH51" i="5" s="1"/>
  <c r="BH60" i="5" s="1"/>
  <c r="BH69" i="5" s="1"/>
  <c r="BH78" i="5" s="1"/>
  <c r="BH87" i="5" s="1"/>
  <c r="BH96" i="5" s="1"/>
  <c r="BB41" i="5"/>
  <c r="BB60" i="5" s="1"/>
  <c r="BB69" i="5" s="1"/>
  <c r="BB78" i="5" s="1"/>
  <c r="BB87" i="5" s="1"/>
  <c r="BB96" i="5" s="1"/>
  <c r="BB105" i="5" s="1"/>
  <c r="BK49" i="5"/>
  <c r="BC38" i="5"/>
  <c r="BC48" i="5" s="1"/>
  <c r="BC66" i="5" s="1"/>
  <c r="BC75" i="5" s="1"/>
  <c r="BC84" i="5" s="1"/>
  <c r="BC93" i="5" s="1"/>
  <c r="BC102" i="5" s="1"/>
  <c r="BD38" i="5"/>
  <c r="BD48" i="5" s="1"/>
  <c r="BD57" i="5" s="1"/>
  <c r="BD75" i="5" s="1"/>
  <c r="BD84" i="5" s="1"/>
  <c r="BD93" i="5" s="1"/>
  <c r="BD102" i="5" s="1"/>
  <c r="BE38" i="5"/>
  <c r="BE48" i="5" s="1"/>
  <c r="BE57" i="5" s="1"/>
  <c r="BE66" i="5" s="1"/>
  <c r="BE84" i="5" s="1"/>
  <c r="BE93" i="5" s="1"/>
  <c r="BE102" i="5" s="1"/>
  <c r="BF38" i="5"/>
  <c r="BF48" i="5" s="1"/>
  <c r="BF57" i="5" s="1"/>
  <c r="BF66" i="5" s="1"/>
  <c r="BF75" i="5" s="1"/>
  <c r="BF93" i="5" s="1"/>
  <c r="BF102" i="5" s="1"/>
  <c r="BG38" i="5"/>
  <c r="BG48" i="5" s="1"/>
  <c r="BG57" i="5" s="1"/>
  <c r="BG66" i="5" s="1"/>
  <c r="BG75" i="5" s="1"/>
  <c r="BG84" i="5" s="1"/>
  <c r="BG102" i="5" s="1"/>
  <c r="BH38" i="5"/>
  <c r="BH48" i="5" s="1"/>
  <c r="BH57" i="5" s="1"/>
  <c r="BH66" i="5" s="1"/>
  <c r="BH75" i="5" s="1"/>
  <c r="BH84" i="5" s="1"/>
  <c r="BH93" i="5" s="1"/>
  <c r="BB38" i="5"/>
  <c r="BB57" i="5" s="1"/>
  <c r="BB66" i="5" s="1"/>
  <c r="BB75" i="5" s="1"/>
  <c r="BB84" i="5" s="1"/>
  <c r="BB93" i="5" s="1"/>
  <c r="BB102" i="5" s="1"/>
  <c r="H10" i="5"/>
  <c r="F10" i="5"/>
  <c r="H12" i="5"/>
  <c r="F12" i="5"/>
  <c r="H13" i="5"/>
  <c r="F13" i="5"/>
  <c r="H7" i="5"/>
  <c r="F7" i="5"/>
  <c r="H11" i="5"/>
  <c r="F11" i="5"/>
  <c r="H9" i="5"/>
  <c r="F9" i="5"/>
  <c r="H8" i="5"/>
  <c r="F8" i="5"/>
  <c r="T43" i="5"/>
  <c r="T53" i="5" s="1"/>
  <c r="T62" i="5" s="1"/>
  <c r="T71" i="5" s="1"/>
  <c r="T80" i="5" s="1"/>
  <c r="T89" i="5" s="1"/>
  <c r="T107" i="5" s="1"/>
  <c r="U43" i="5"/>
  <c r="U53" i="5" s="1"/>
  <c r="U62" i="5" s="1"/>
  <c r="U71" i="5" s="1"/>
  <c r="U80" i="5" s="1"/>
  <c r="U89" i="5" s="1"/>
  <c r="U98" i="5" s="1"/>
  <c r="R43" i="5"/>
  <c r="R53" i="5" s="1"/>
  <c r="R62" i="5" s="1"/>
  <c r="R71" i="5" s="1"/>
  <c r="R89" i="5" s="1"/>
  <c r="R98" i="5" s="1"/>
  <c r="R107" i="5" s="1"/>
  <c r="X54" i="5"/>
  <c r="O43" i="5"/>
  <c r="O62" i="5" s="1"/>
  <c r="O71" i="5" s="1"/>
  <c r="O80" i="5" s="1"/>
  <c r="O89" i="5" s="1"/>
  <c r="O98" i="5" s="1"/>
  <c r="O107" i="5" s="1"/>
  <c r="P43" i="5"/>
  <c r="P53" i="5" s="1"/>
  <c r="P71" i="5" s="1"/>
  <c r="P80" i="5" s="1"/>
  <c r="P89" i="5" s="1"/>
  <c r="P98" i="5" s="1"/>
  <c r="P107" i="5" s="1"/>
  <c r="Q43" i="5"/>
  <c r="Q53" i="5" s="1"/>
  <c r="Q62" i="5" s="1"/>
  <c r="Q80" i="5" s="1"/>
  <c r="Q89" i="5" s="1"/>
  <c r="Q98" i="5" s="1"/>
  <c r="Q107" i="5" s="1"/>
  <c r="S43" i="5"/>
  <c r="S53" i="5" s="1"/>
  <c r="S62" i="5" s="1"/>
  <c r="S71" i="5" s="1"/>
  <c r="S80" i="5" s="1"/>
  <c r="S98" i="5" s="1"/>
  <c r="S107" i="5" s="1"/>
  <c r="X53" i="5"/>
  <c r="P42" i="5"/>
  <c r="P52" i="5" s="1"/>
  <c r="P70" i="5" s="1"/>
  <c r="P79" i="5" s="1"/>
  <c r="P88" i="5" s="1"/>
  <c r="P97" i="5" s="1"/>
  <c r="P106" i="5" s="1"/>
  <c r="Q42" i="5"/>
  <c r="Q52" i="5" s="1"/>
  <c r="Q61" i="5" s="1"/>
  <c r="Q79" i="5" s="1"/>
  <c r="Q88" i="5" s="1"/>
  <c r="Q97" i="5" s="1"/>
  <c r="Q106" i="5" s="1"/>
  <c r="O42" i="5"/>
  <c r="O61" i="5" s="1"/>
  <c r="O70" i="5" s="1"/>
  <c r="O79" i="5" s="1"/>
  <c r="O88" i="5" s="1"/>
  <c r="O97" i="5" s="1"/>
  <c r="O106" i="5" s="1"/>
  <c r="R42" i="5"/>
  <c r="R52" i="5" s="1"/>
  <c r="R61" i="5" s="1"/>
  <c r="R70" i="5" s="1"/>
  <c r="R88" i="5" s="1"/>
  <c r="R97" i="5" s="1"/>
  <c r="R106" i="5" s="1"/>
  <c r="S42" i="5"/>
  <c r="S52" i="5" s="1"/>
  <c r="S61" i="5" s="1"/>
  <c r="S70" i="5" s="1"/>
  <c r="S79" i="5" s="1"/>
  <c r="S97" i="5" s="1"/>
  <c r="S106" i="5" s="1"/>
  <c r="T42" i="5"/>
  <c r="T52" i="5" s="1"/>
  <c r="T61" i="5" s="1"/>
  <c r="T70" i="5" s="1"/>
  <c r="T79" i="5" s="1"/>
  <c r="T88" i="5" s="1"/>
  <c r="T106" i="5" s="1"/>
  <c r="U42" i="5"/>
  <c r="U52" i="5" s="1"/>
  <c r="U61" i="5" s="1"/>
  <c r="U70" i="5" s="1"/>
  <c r="U79" i="5" s="1"/>
  <c r="U88" i="5" s="1"/>
  <c r="U97" i="5" s="1"/>
  <c r="X52" i="5"/>
  <c r="T41" i="5"/>
  <c r="T51" i="5" s="1"/>
  <c r="T60" i="5" s="1"/>
  <c r="T69" i="5" s="1"/>
  <c r="T78" i="5" s="1"/>
  <c r="T87" i="5" s="1"/>
  <c r="T105" i="5" s="1"/>
  <c r="U41" i="5"/>
  <c r="U51" i="5" s="1"/>
  <c r="U60" i="5" s="1"/>
  <c r="U69" i="5" s="1"/>
  <c r="U78" i="5" s="1"/>
  <c r="U87" i="5" s="1"/>
  <c r="U96" i="5" s="1"/>
  <c r="O41" i="5"/>
  <c r="O60" i="5" s="1"/>
  <c r="O69" i="5" s="1"/>
  <c r="O78" i="5" s="1"/>
  <c r="O87" i="5" s="1"/>
  <c r="O96" i="5" s="1"/>
  <c r="O105" i="5" s="1"/>
  <c r="R41" i="5"/>
  <c r="R51" i="5" s="1"/>
  <c r="R60" i="5" s="1"/>
  <c r="R69" i="5" s="1"/>
  <c r="R87" i="5" s="1"/>
  <c r="R96" i="5" s="1"/>
  <c r="R105" i="5" s="1"/>
  <c r="P41" i="5"/>
  <c r="P51" i="5" s="1"/>
  <c r="P69" i="5" s="1"/>
  <c r="P78" i="5" s="1"/>
  <c r="P87" i="5" s="1"/>
  <c r="P96" i="5" s="1"/>
  <c r="P105" i="5" s="1"/>
  <c r="Q41" i="5"/>
  <c r="Q51" i="5" s="1"/>
  <c r="Q60" i="5" s="1"/>
  <c r="Q78" i="5" s="1"/>
  <c r="Q87" i="5" s="1"/>
  <c r="Q96" i="5" s="1"/>
  <c r="Q105" i="5" s="1"/>
  <c r="S41" i="5"/>
  <c r="S51" i="5" s="1"/>
  <c r="S60" i="5" s="1"/>
  <c r="S69" i="5" s="1"/>
  <c r="S78" i="5" s="1"/>
  <c r="S96" i="5" s="1"/>
  <c r="S105" i="5" s="1"/>
  <c r="U38" i="5"/>
  <c r="U48" i="5" s="1"/>
  <c r="U57" i="5" s="1"/>
  <c r="U66" i="5" s="1"/>
  <c r="U75" i="5" s="1"/>
  <c r="U84" i="5" s="1"/>
  <c r="U93" i="5" s="1"/>
  <c r="P38" i="5"/>
  <c r="P48" i="5" s="1"/>
  <c r="P66" i="5" s="1"/>
  <c r="P75" i="5" s="1"/>
  <c r="P84" i="5" s="1"/>
  <c r="P93" i="5" s="1"/>
  <c r="P102" i="5" s="1"/>
  <c r="O38" i="5"/>
  <c r="O57" i="5" s="1"/>
  <c r="O66" i="5" s="1"/>
  <c r="O75" i="5" s="1"/>
  <c r="O84" i="5" s="1"/>
  <c r="O93" i="5" s="1"/>
  <c r="O102" i="5" s="1"/>
  <c r="Q38" i="5"/>
  <c r="Q48" i="5" s="1"/>
  <c r="Q57" i="5" s="1"/>
  <c r="Q75" i="5" s="1"/>
  <c r="Q84" i="5" s="1"/>
  <c r="Q93" i="5" s="1"/>
  <c r="Q102" i="5" s="1"/>
  <c r="X49" i="5"/>
  <c r="R38" i="5"/>
  <c r="R48" i="5" s="1"/>
  <c r="R57" i="5" s="1"/>
  <c r="R66" i="5" s="1"/>
  <c r="R84" i="5" s="1"/>
  <c r="R93" i="5" s="1"/>
  <c r="R102" i="5" s="1"/>
  <c r="T38" i="5"/>
  <c r="T48" i="5" s="1"/>
  <c r="T57" i="5" s="1"/>
  <c r="T66" i="5" s="1"/>
  <c r="T75" i="5" s="1"/>
  <c r="T84" i="5" s="1"/>
  <c r="T102" i="5" s="1"/>
  <c r="S38" i="5"/>
  <c r="S48" i="5" s="1"/>
  <c r="S57" i="5" s="1"/>
  <c r="S66" i="5" s="1"/>
  <c r="S75" i="5" s="1"/>
  <c r="S93" i="5" s="1"/>
  <c r="S102" i="5" s="1"/>
  <c r="P40" i="5"/>
  <c r="P50" i="5" s="1"/>
  <c r="P68" i="5" s="1"/>
  <c r="P77" i="5" s="1"/>
  <c r="P86" i="5" s="1"/>
  <c r="P95" i="5" s="1"/>
  <c r="P104" i="5" s="1"/>
  <c r="Q40" i="5"/>
  <c r="Q50" i="5" s="1"/>
  <c r="Q59" i="5" s="1"/>
  <c r="Q77" i="5" s="1"/>
  <c r="Q86" i="5" s="1"/>
  <c r="Q95" i="5" s="1"/>
  <c r="Q104" i="5" s="1"/>
  <c r="R40" i="5"/>
  <c r="R50" i="5" s="1"/>
  <c r="R59" i="5" s="1"/>
  <c r="R68" i="5" s="1"/>
  <c r="R86" i="5" s="1"/>
  <c r="R95" i="5" s="1"/>
  <c r="R104" i="5" s="1"/>
  <c r="S40" i="5"/>
  <c r="S50" i="5" s="1"/>
  <c r="S59" i="5" s="1"/>
  <c r="S68" i="5" s="1"/>
  <c r="S77" i="5" s="1"/>
  <c r="S95" i="5" s="1"/>
  <c r="S104" i="5" s="1"/>
  <c r="O40" i="5"/>
  <c r="O59" i="5" s="1"/>
  <c r="O68" i="5" s="1"/>
  <c r="O77" i="5" s="1"/>
  <c r="O86" i="5" s="1"/>
  <c r="O95" i="5" s="1"/>
  <c r="O104" i="5" s="1"/>
  <c r="T40" i="5"/>
  <c r="T50" i="5" s="1"/>
  <c r="T59" i="5" s="1"/>
  <c r="T68" i="5" s="1"/>
  <c r="T77" i="5" s="1"/>
  <c r="T86" i="5" s="1"/>
  <c r="T104" i="5" s="1"/>
  <c r="U40" i="5"/>
  <c r="U50" i="5" s="1"/>
  <c r="U59" i="5" s="1"/>
  <c r="U68" i="5" s="1"/>
  <c r="U77" i="5" s="1"/>
  <c r="U86" i="5" s="1"/>
  <c r="U95" i="5" s="1"/>
  <c r="X51" i="5"/>
  <c r="P37" i="5"/>
  <c r="P47" i="5" s="1"/>
  <c r="P65" i="5" s="1"/>
  <c r="P74" i="5" s="1"/>
  <c r="P83" i="5" s="1"/>
  <c r="P92" i="5" s="1"/>
  <c r="P101" i="5" s="1"/>
  <c r="Q37" i="5"/>
  <c r="Q47" i="5" s="1"/>
  <c r="Q56" i="5" s="1"/>
  <c r="Q74" i="5" s="1"/>
  <c r="Q83" i="5" s="1"/>
  <c r="Q92" i="5" s="1"/>
  <c r="Q101" i="5" s="1"/>
  <c r="X48" i="5"/>
  <c r="R37" i="5"/>
  <c r="R47" i="5" s="1"/>
  <c r="R56" i="5" s="1"/>
  <c r="R65" i="5" s="1"/>
  <c r="R83" i="5" s="1"/>
  <c r="R92" i="5" s="1"/>
  <c r="R101" i="5" s="1"/>
  <c r="O37" i="5"/>
  <c r="O56" i="5" s="1"/>
  <c r="O65" i="5" s="1"/>
  <c r="O74" i="5" s="1"/>
  <c r="O83" i="5" s="1"/>
  <c r="O92" i="5" s="1"/>
  <c r="O101" i="5" s="1"/>
  <c r="S37" i="5"/>
  <c r="S47" i="5" s="1"/>
  <c r="S56" i="5" s="1"/>
  <c r="S65" i="5" s="1"/>
  <c r="S74" i="5" s="1"/>
  <c r="S92" i="5" s="1"/>
  <c r="S101" i="5" s="1"/>
  <c r="T37" i="5"/>
  <c r="T47" i="5" s="1"/>
  <c r="T56" i="5" s="1"/>
  <c r="T65" i="5" s="1"/>
  <c r="T74" i="5" s="1"/>
  <c r="T83" i="5" s="1"/>
  <c r="T101" i="5" s="1"/>
  <c r="U37" i="5"/>
  <c r="U47" i="5" s="1"/>
  <c r="U56" i="5" s="1"/>
  <c r="U65" i="5" s="1"/>
  <c r="U74" i="5" s="1"/>
  <c r="U83" i="5" s="1"/>
  <c r="U92" i="5" s="1"/>
  <c r="T39" i="5"/>
  <c r="T49" i="5" s="1"/>
  <c r="T58" i="5" s="1"/>
  <c r="T67" i="5" s="1"/>
  <c r="T76" i="5" s="1"/>
  <c r="T85" i="5" s="1"/>
  <c r="T103" i="5" s="1"/>
  <c r="U39" i="5"/>
  <c r="U49" i="5" s="1"/>
  <c r="U58" i="5" s="1"/>
  <c r="U67" i="5" s="1"/>
  <c r="U76" i="5" s="1"/>
  <c r="U85" i="5" s="1"/>
  <c r="U94" i="5" s="1"/>
  <c r="O39" i="5"/>
  <c r="O58" i="5" s="1"/>
  <c r="O67" i="5" s="1"/>
  <c r="O76" i="5" s="1"/>
  <c r="O85" i="5" s="1"/>
  <c r="O94" i="5" s="1"/>
  <c r="O103" i="5" s="1"/>
  <c r="P39" i="5"/>
  <c r="P49" i="5" s="1"/>
  <c r="P67" i="5" s="1"/>
  <c r="P76" i="5" s="1"/>
  <c r="P85" i="5" s="1"/>
  <c r="P94" i="5" s="1"/>
  <c r="P103" i="5" s="1"/>
  <c r="R39" i="5"/>
  <c r="R49" i="5" s="1"/>
  <c r="R58" i="5" s="1"/>
  <c r="R67" i="5" s="1"/>
  <c r="R85" i="5" s="1"/>
  <c r="R94" i="5" s="1"/>
  <c r="R103" i="5" s="1"/>
  <c r="Q39" i="5"/>
  <c r="Q49" i="5" s="1"/>
  <c r="Q58" i="5" s="1"/>
  <c r="Q76" i="5" s="1"/>
  <c r="Q85" i="5" s="1"/>
  <c r="Q94" i="5" s="1"/>
  <c r="Q103" i="5" s="1"/>
  <c r="X50" i="5"/>
  <c r="S39" i="5"/>
  <c r="S49" i="5" s="1"/>
  <c r="S58" i="5" s="1"/>
  <c r="S67" i="5" s="1"/>
  <c r="S76" i="5" s="1"/>
  <c r="S94" i="5" s="1"/>
  <c r="S103" i="5" s="1"/>
  <c r="B50" i="5"/>
  <c r="C59" i="5" s="1"/>
  <c r="D68" i="5" s="1"/>
  <c r="E77" i="5" s="1"/>
  <c r="F86" i="5" s="1"/>
  <c r="G95" i="5" s="1"/>
  <c r="H104" i="5" s="1"/>
  <c r="E10" i="5"/>
  <c r="D10" i="5"/>
  <c r="O50" i="5" s="1"/>
  <c r="P59" i="5" s="1"/>
  <c r="Q68" i="5" s="1"/>
  <c r="R77" i="5" s="1"/>
  <c r="S86" i="5" s="1"/>
  <c r="T95" i="5" s="1"/>
  <c r="U104" i="5" s="1"/>
  <c r="C10" i="5"/>
  <c r="B49" i="5"/>
  <c r="C58" i="5" s="1"/>
  <c r="D67" i="5" s="1"/>
  <c r="E76" i="5" s="1"/>
  <c r="F85" i="5" s="1"/>
  <c r="G94" i="5" s="1"/>
  <c r="H103" i="5" s="1"/>
  <c r="C9" i="5"/>
  <c r="E9" i="5"/>
  <c r="D9" i="5"/>
  <c r="O49" i="5" s="1"/>
  <c r="P58" i="5" s="1"/>
  <c r="Q67" i="5" s="1"/>
  <c r="R76" i="5" s="1"/>
  <c r="S85" i="5" s="1"/>
  <c r="T94" i="5" s="1"/>
  <c r="U103" i="5" s="1"/>
  <c r="C13" i="5"/>
  <c r="E13" i="5"/>
  <c r="B53" i="5"/>
  <c r="C62" i="5" s="1"/>
  <c r="D71" i="5" s="1"/>
  <c r="E80" i="5" s="1"/>
  <c r="F89" i="5" s="1"/>
  <c r="G98" i="5" s="1"/>
  <c r="H107" i="5" s="1"/>
  <c r="D13" i="5"/>
  <c r="O53" i="5" s="1"/>
  <c r="P62" i="5" s="1"/>
  <c r="Q71" i="5" s="1"/>
  <c r="R80" i="5" s="1"/>
  <c r="S89" i="5" s="1"/>
  <c r="T98" i="5" s="1"/>
  <c r="U107" i="5" s="1"/>
  <c r="E12" i="5"/>
  <c r="D12" i="5"/>
  <c r="C12" i="5"/>
  <c r="B52" i="5"/>
  <c r="C61" i="5" s="1"/>
  <c r="D70" i="5" s="1"/>
  <c r="E79" i="5" s="1"/>
  <c r="F88" i="5" s="1"/>
  <c r="G97" i="5" s="1"/>
  <c r="H106" i="5" s="1"/>
  <c r="C7" i="5"/>
  <c r="K48" i="5" s="1"/>
  <c r="B47" i="5"/>
  <c r="C56" i="5" s="1"/>
  <c r="D65" i="5" s="1"/>
  <c r="E74" i="5" s="1"/>
  <c r="F83" i="5" s="1"/>
  <c r="G92" i="5" s="1"/>
  <c r="H101" i="5" s="1"/>
  <c r="E7" i="5"/>
  <c r="D7" i="5"/>
  <c r="O47" i="5" s="1"/>
  <c r="P56" i="5" s="1"/>
  <c r="Q65" i="5" s="1"/>
  <c r="R74" i="5" s="1"/>
  <c r="S83" i="5" s="1"/>
  <c r="T92" i="5" s="1"/>
  <c r="U101" i="5" s="1"/>
  <c r="B4" i="5"/>
  <c r="E11" i="5"/>
  <c r="B51" i="5"/>
  <c r="C60" i="5" s="1"/>
  <c r="D69" i="5" s="1"/>
  <c r="E78" i="5" s="1"/>
  <c r="F87" i="5" s="1"/>
  <c r="G96" i="5" s="1"/>
  <c r="H105" i="5" s="1"/>
  <c r="C11" i="5"/>
  <c r="D11" i="5"/>
  <c r="O51" i="5" s="1"/>
  <c r="P60" i="5" s="1"/>
  <c r="Q69" i="5" s="1"/>
  <c r="R78" i="5" s="1"/>
  <c r="S87" i="5" s="1"/>
  <c r="T96" i="5" s="1"/>
  <c r="U105" i="5" s="1"/>
  <c r="B48" i="5"/>
  <c r="C57" i="5" s="1"/>
  <c r="D66" i="5" s="1"/>
  <c r="E75" i="5" s="1"/>
  <c r="F84" i="5" s="1"/>
  <c r="G93" i="5" s="1"/>
  <c r="H102" i="5" s="1"/>
  <c r="C8" i="5"/>
  <c r="D8" i="5"/>
  <c r="E8" i="5"/>
  <c r="J1" i="4"/>
  <c r="P13" i="6"/>
  <c r="P14" i="6" s="1"/>
  <c r="N12" i="6"/>
  <c r="N14" i="6"/>
  <c r="O48" i="5" l="1"/>
  <c r="P57" i="5" s="1"/>
  <c r="Q66" i="5" s="1"/>
  <c r="R75" i="5" s="1"/>
  <c r="S84" i="5" s="1"/>
  <c r="T93" i="5" s="1"/>
  <c r="U102" i="5" s="1"/>
  <c r="J12" i="14"/>
  <c r="O52" i="5"/>
  <c r="J28" i="14"/>
  <c r="AO48" i="5"/>
  <c r="AP57" i="5" s="1"/>
  <c r="AQ66" i="5" s="1"/>
  <c r="AR75" i="5" s="1"/>
  <c r="AS84" i="5" s="1"/>
  <c r="AT93" i="5" s="1"/>
  <c r="AU102" i="5" s="1"/>
  <c r="AK49" i="5"/>
  <c r="AC38" i="5"/>
  <c r="AC48" i="5" s="1"/>
  <c r="AC66" i="5" s="1"/>
  <c r="AC75" i="5" s="1"/>
  <c r="AC84" i="5" s="1"/>
  <c r="AC93" i="5" s="1"/>
  <c r="AC102" i="5" s="1"/>
  <c r="AD38" i="5"/>
  <c r="AD48" i="5" s="1"/>
  <c r="AD57" i="5" s="1"/>
  <c r="AD75" i="5" s="1"/>
  <c r="AD84" i="5" s="1"/>
  <c r="AD93" i="5" s="1"/>
  <c r="AD102" i="5" s="1"/>
  <c r="AE38" i="5"/>
  <c r="AE48" i="5" s="1"/>
  <c r="AE57" i="5" s="1"/>
  <c r="AE66" i="5" s="1"/>
  <c r="AE84" i="5" s="1"/>
  <c r="AE93" i="5" s="1"/>
  <c r="AE102" i="5" s="1"/>
  <c r="AF38" i="5"/>
  <c r="AF48" i="5" s="1"/>
  <c r="AF57" i="5" s="1"/>
  <c r="AF66" i="5" s="1"/>
  <c r="AF75" i="5" s="1"/>
  <c r="AF93" i="5" s="1"/>
  <c r="AF102" i="5" s="1"/>
  <c r="AG38" i="5"/>
  <c r="AG48" i="5" s="1"/>
  <c r="AG57" i="5" s="1"/>
  <c r="AG66" i="5" s="1"/>
  <c r="AG75" i="5" s="1"/>
  <c r="AG84" i="5" s="1"/>
  <c r="AG102" i="5" s="1"/>
  <c r="AH38" i="5"/>
  <c r="AH48" i="5" s="1"/>
  <c r="AH57" i="5" s="1"/>
  <c r="AH66" i="5" s="1"/>
  <c r="AH75" i="5" s="1"/>
  <c r="AH84" i="5" s="1"/>
  <c r="AH93" i="5" s="1"/>
  <c r="AB38" i="5"/>
  <c r="AB57" i="5" s="1"/>
  <c r="AB66" i="5" s="1"/>
  <c r="AB75" i="5" s="1"/>
  <c r="AB84" i="5" s="1"/>
  <c r="AB93" i="5" s="1"/>
  <c r="AB102" i="5" s="1"/>
  <c r="AO51" i="5"/>
  <c r="AP60" i="5" s="1"/>
  <c r="AQ69" i="5" s="1"/>
  <c r="AR78" i="5" s="1"/>
  <c r="AS87" i="5" s="1"/>
  <c r="AT96" i="5" s="1"/>
  <c r="AU105" i="5" s="1"/>
  <c r="AK52" i="5"/>
  <c r="AC41" i="5"/>
  <c r="AC51" i="5" s="1"/>
  <c r="AC69" i="5" s="1"/>
  <c r="AC78" i="5" s="1"/>
  <c r="AC87" i="5" s="1"/>
  <c r="AC96" i="5" s="1"/>
  <c r="AC105" i="5" s="1"/>
  <c r="AD41" i="5"/>
  <c r="AD51" i="5" s="1"/>
  <c r="AD60" i="5" s="1"/>
  <c r="AD78" i="5" s="1"/>
  <c r="AD87" i="5" s="1"/>
  <c r="AD96" i="5" s="1"/>
  <c r="AD105" i="5" s="1"/>
  <c r="AE41" i="5"/>
  <c r="AE51" i="5" s="1"/>
  <c r="AE60" i="5" s="1"/>
  <c r="AE69" i="5" s="1"/>
  <c r="AE87" i="5" s="1"/>
  <c r="AE96" i="5" s="1"/>
  <c r="AE105" i="5" s="1"/>
  <c r="AF41" i="5"/>
  <c r="AF51" i="5" s="1"/>
  <c r="AF60" i="5" s="1"/>
  <c r="AF69" i="5" s="1"/>
  <c r="AF78" i="5" s="1"/>
  <c r="AF96" i="5" s="1"/>
  <c r="AF105" i="5" s="1"/>
  <c r="AG41" i="5"/>
  <c r="AG51" i="5" s="1"/>
  <c r="AG60" i="5" s="1"/>
  <c r="AG69" i="5" s="1"/>
  <c r="AG78" i="5" s="1"/>
  <c r="AG87" i="5" s="1"/>
  <c r="AG105" i="5" s="1"/>
  <c r="AH41" i="5"/>
  <c r="AH51" i="5" s="1"/>
  <c r="AH60" i="5" s="1"/>
  <c r="AH69" i="5" s="1"/>
  <c r="AH78" i="5" s="1"/>
  <c r="AH87" i="5" s="1"/>
  <c r="AH96" i="5" s="1"/>
  <c r="AB41" i="5"/>
  <c r="AB60" i="5" s="1"/>
  <c r="AB69" i="5" s="1"/>
  <c r="AB78" i="5" s="1"/>
  <c r="AB87" i="5" s="1"/>
  <c r="AB96" i="5" s="1"/>
  <c r="AB105" i="5" s="1"/>
  <c r="L11" i="14"/>
  <c r="BI37" i="5"/>
  <c r="AO47" i="5"/>
  <c r="AK48" i="5"/>
  <c r="AC37" i="5"/>
  <c r="AC47" i="5" s="1"/>
  <c r="AC65" i="5" s="1"/>
  <c r="AC74" i="5" s="1"/>
  <c r="AC83" i="5" s="1"/>
  <c r="AC92" i="5" s="1"/>
  <c r="AC101" i="5" s="1"/>
  <c r="AD37" i="5"/>
  <c r="AD47" i="5" s="1"/>
  <c r="AD56" i="5" s="1"/>
  <c r="AD74" i="5" s="1"/>
  <c r="AD83" i="5" s="1"/>
  <c r="AD92" i="5" s="1"/>
  <c r="AD101" i="5" s="1"/>
  <c r="AE37" i="5"/>
  <c r="AE47" i="5" s="1"/>
  <c r="AE56" i="5" s="1"/>
  <c r="AE65" i="5" s="1"/>
  <c r="AE83" i="5" s="1"/>
  <c r="AE92" i="5" s="1"/>
  <c r="AE101" i="5" s="1"/>
  <c r="AF37" i="5"/>
  <c r="AF47" i="5" s="1"/>
  <c r="AF56" i="5" s="1"/>
  <c r="AF65" i="5" s="1"/>
  <c r="AF74" i="5" s="1"/>
  <c r="AF92" i="5" s="1"/>
  <c r="AF101" i="5" s="1"/>
  <c r="AG37" i="5"/>
  <c r="AG47" i="5" s="1"/>
  <c r="AG56" i="5" s="1"/>
  <c r="AG65" i="5" s="1"/>
  <c r="AG74" i="5" s="1"/>
  <c r="AG83" i="5" s="1"/>
  <c r="AG101" i="5" s="1"/>
  <c r="AH37" i="5"/>
  <c r="AH47" i="5" s="1"/>
  <c r="AH56" i="5" s="1"/>
  <c r="AH65" i="5" s="1"/>
  <c r="AH74" i="5" s="1"/>
  <c r="AH83" i="5" s="1"/>
  <c r="AH92" i="5" s="1"/>
  <c r="AB37" i="5"/>
  <c r="AB56" i="5" s="1"/>
  <c r="AB65" i="5" s="1"/>
  <c r="AB74" i="5" s="1"/>
  <c r="AB83" i="5" s="1"/>
  <c r="AB92" i="5" s="1"/>
  <c r="AB101" i="5" s="1"/>
  <c r="AO52" i="5"/>
  <c r="AP61" i="5" s="1"/>
  <c r="AQ70" i="5" s="1"/>
  <c r="AR79" i="5" s="1"/>
  <c r="AS88" i="5" s="1"/>
  <c r="AT97" i="5" s="1"/>
  <c r="AU106" i="5" s="1"/>
  <c r="AK53" i="5"/>
  <c r="AC42" i="5"/>
  <c r="AC52" i="5" s="1"/>
  <c r="AC70" i="5" s="1"/>
  <c r="AC79" i="5" s="1"/>
  <c r="AC88" i="5" s="1"/>
  <c r="AC97" i="5" s="1"/>
  <c r="AC106" i="5" s="1"/>
  <c r="AD42" i="5"/>
  <c r="AD52" i="5" s="1"/>
  <c r="AD61" i="5" s="1"/>
  <c r="AD79" i="5" s="1"/>
  <c r="AD88" i="5" s="1"/>
  <c r="AD97" i="5" s="1"/>
  <c r="AD106" i="5" s="1"/>
  <c r="AE42" i="5"/>
  <c r="AE52" i="5" s="1"/>
  <c r="AE61" i="5" s="1"/>
  <c r="AE70" i="5" s="1"/>
  <c r="AE88" i="5" s="1"/>
  <c r="AE97" i="5" s="1"/>
  <c r="AE106" i="5" s="1"/>
  <c r="AF42" i="5"/>
  <c r="AF52" i="5" s="1"/>
  <c r="AF61" i="5" s="1"/>
  <c r="AF70" i="5" s="1"/>
  <c r="AF79" i="5" s="1"/>
  <c r="AF97" i="5" s="1"/>
  <c r="AF106" i="5" s="1"/>
  <c r="AG42" i="5"/>
  <c r="AG52" i="5" s="1"/>
  <c r="AG61" i="5" s="1"/>
  <c r="AG70" i="5" s="1"/>
  <c r="AG79" i="5" s="1"/>
  <c r="AG88" i="5" s="1"/>
  <c r="AG106" i="5" s="1"/>
  <c r="AH42" i="5"/>
  <c r="AH52" i="5" s="1"/>
  <c r="AH61" i="5" s="1"/>
  <c r="AH70" i="5" s="1"/>
  <c r="AH79" i="5" s="1"/>
  <c r="AH88" i="5" s="1"/>
  <c r="AH97" i="5" s="1"/>
  <c r="AB42" i="5"/>
  <c r="AB61" i="5" s="1"/>
  <c r="AB70" i="5" s="1"/>
  <c r="AB79" i="5" s="1"/>
  <c r="AB88" i="5" s="1"/>
  <c r="AB97" i="5" s="1"/>
  <c r="AB106" i="5" s="1"/>
  <c r="AO53" i="5"/>
  <c r="AP62" i="5" s="1"/>
  <c r="AQ71" i="5" s="1"/>
  <c r="AR80" i="5" s="1"/>
  <c r="AS89" i="5" s="1"/>
  <c r="AT98" i="5" s="1"/>
  <c r="AU107" i="5" s="1"/>
  <c r="AK54" i="5"/>
  <c r="AC43" i="5"/>
  <c r="AC53" i="5" s="1"/>
  <c r="AC71" i="5" s="1"/>
  <c r="AC80" i="5" s="1"/>
  <c r="AC89" i="5" s="1"/>
  <c r="AC98" i="5" s="1"/>
  <c r="AC107" i="5" s="1"/>
  <c r="AD43" i="5"/>
  <c r="AD53" i="5" s="1"/>
  <c r="AD62" i="5" s="1"/>
  <c r="AD80" i="5" s="1"/>
  <c r="AD89" i="5" s="1"/>
  <c r="AD98" i="5" s="1"/>
  <c r="AD107" i="5" s="1"/>
  <c r="AE43" i="5"/>
  <c r="AE53" i="5" s="1"/>
  <c r="AE62" i="5" s="1"/>
  <c r="AE71" i="5" s="1"/>
  <c r="AE89" i="5" s="1"/>
  <c r="AE98" i="5" s="1"/>
  <c r="AE107" i="5" s="1"/>
  <c r="AF43" i="5"/>
  <c r="AF53" i="5" s="1"/>
  <c r="AF62" i="5" s="1"/>
  <c r="AF71" i="5" s="1"/>
  <c r="AF80" i="5" s="1"/>
  <c r="AF98" i="5" s="1"/>
  <c r="AF107" i="5" s="1"/>
  <c r="AG43" i="5"/>
  <c r="AG53" i="5" s="1"/>
  <c r="AG62" i="5" s="1"/>
  <c r="AG71" i="5" s="1"/>
  <c r="AG80" i="5" s="1"/>
  <c r="AG89" i="5" s="1"/>
  <c r="AG107" i="5" s="1"/>
  <c r="AH43" i="5"/>
  <c r="AH53" i="5" s="1"/>
  <c r="AH62" i="5" s="1"/>
  <c r="AH71" i="5" s="1"/>
  <c r="AH80" i="5" s="1"/>
  <c r="AH89" i="5" s="1"/>
  <c r="AH98" i="5" s="1"/>
  <c r="AB43" i="5"/>
  <c r="AB62" i="5" s="1"/>
  <c r="AB71" i="5" s="1"/>
  <c r="AB80" i="5" s="1"/>
  <c r="AB89" i="5" s="1"/>
  <c r="AB98" i="5" s="1"/>
  <c r="AB107" i="5" s="1"/>
  <c r="AO49" i="5"/>
  <c r="AP58" i="5" s="1"/>
  <c r="AQ67" i="5" s="1"/>
  <c r="AR76" i="5" s="1"/>
  <c r="AS85" i="5" s="1"/>
  <c r="AT94" i="5" s="1"/>
  <c r="AU103" i="5" s="1"/>
  <c r="AK50" i="5"/>
  <c r="AC39" i="5"/>
  <c r="AC49" i="5" s="1"/>
  <c r="AC67" i="5" s="1"/>
  <c r="AC76" i="5" s="1"/>
  <c r="AC85" i="5" s="1"/>
  <c r="AC94" i="5" s="1"/>
  <c r="AC103" i="5" s="1"/>
  <c r="AD39" i="5"/>
  <c r="AD49" i="5" s="1"/>
  <c r="AD58" i="5" s="1"/>
  <c r="AD76" i="5" s="1"/>
  <c r="AD85" i="5" s="1"/>
  <c r="AD94" i="5" s="1"/>
  <c r="AD103" i="5" s="1"/>
  <c r="AE39" i="5"/>
  <c r="AE49" i="5" s="1"/>
  <c r="AE58" i="5" s="1"/>
  <c r="AE67" i="5" s="1"/>
  <c r="AE85" i="5" s="1"/>
  <c r="AE94" i="5" s="1"/>
  <c r="AE103" i="5" s="1"/>
  <c r="AF39" i="5"/>
  <c r="AF49" i="5" s="1"/>
  <c r="AF58" i="5" s="1"/>
  <c r="AF67" i="5" s="1"/>
  <c r="AF76" i="5" s="1"/>
  <c r="AF94" i="5" s="1"/>
  <c r="AF103" i="5" s="1"/>
  <c r="AG39" i="5"/>
  <c r="AG49" i="5" s="1"/>
  <c r="AG58" i="5" s="1"/>
  <c r="AG67" i="5" s="1"/>
  <c r="AG76" i="5" s="1"/>
  <c r="AG85" i="5" s="1"/>
  <c r="AG103" i="5" s="1"/>
  <c r="AH39" i="5"/>
  <c r="AH49" i="5" s="1"/>
  <c r="AH58" i="5" s="1"/>
  <c r="AH67" i="5" s="1"/>
  <c r="AH76" i="5" s="1"/>
  <c r="AH85" i="5" s="1"/>
  <c r="AH94" i="5" s="1"/>
  <c r="AB39" i="5"/>
  <c r="AB58" i="5" s="1"/>
  <c r="AB67" i="5" s="1"/>
  <c r="AB76" i="5" s="1"/>
  <c r="AB85" i="5" s="1"/>
  <c r="AB94" i="5" s="1"/>
  <c r="AB103" i="5" s="1"/>
  <c r="AO50" i="5"/>
  <c r="AP59" i="5" s="1"/>
  <c r="AQ68" i="5" s="1"/>
  <c r="AR77" i="5" s="1"/>
  <c r="AS86" i="5" s="1"/>
  <c r="AT95" i="5" s="1"/>
  <c r="AU104" i="5" s="1"/>
  <c r="AK51" i="5"/>
  <c r="AX49" i="5"/>
  <c r="AP38" i="5"/>
  <c r="AP48" i="5" s="1"/>
  <c r="AP66" i="5" s="1"/>
  <c r="AP75" i="5" s="1"/>
  <c r="AP84" i="5" s="1"/>
  <c r="AP93" i="5" s="1"/>
  <c r="AP102" i="5" s="1"/>
  <c r="AQ38" i="5"/>
  <c r="AQ48" i="5" s="1"/>
  <c r="AQ57" i="5" s="1"/>
  <c r="AQ75" i="5" s="1"/>
  <c r="AQ84" i="5" s="1"/>
  <c r="AQ93" i="5" s="1"/>
  <c r="AQ102" i="5" s="1"/>
  <c r="AR38" i="5"/>
  <c r="AR48" i="5" s="1"/>
  <c r="AR57" i="5" s="1"/>
  <c r="AR66" i="5" s="1"/>
  <c r="AR84" i="5" s="1"/>
  <c r="AR93" i="5" s="1"/>
  <c r="AR102" i="5" s="1"/>
  <c r="AS38" i="5"/>
  <c r="AS48" i="5" s="1"/>
  <c r="AS57" i="5" s="1"/>
  <c r="AS66" i="5" s="1"/>
  <c r="AS75" i="5" s="1"/>
  <c r="AS93" i="5" s="1"/>
  <c r="AS102" i="5" s="1"/>
  <c r="AT38" i="5"/>
  <c r="AT48" i="5" s="1"/>
  <c r="AT57" i="5" s="1"/>
  <c r="AT66" i="5" s="1"/>
  <c r="AT75" i="5" s="1"/>
  <c r="AT84" i="5" s="1"/>
  <c r="AT102" i="5" s="1"/>
  <c r="AU38" i="5"/>
  <c r="AU48" i="5" s="1"/>
  <c r="AU57" i="5" s="1"/>
  <c r="AU66" i="5" s="1"/>
  <c r="AU75" i="5" s="1"/>
  <c r="AU84" i="5" s="1"/>
  <c r="AU93" i="5" s="1"/>
  <c r="AO38" i="5"/>
  <c r="AO57" i="5" s="1"/>
  <c r="AO66" i="5" s="1"/>
  <c r="AO75" i="5" s="1"/>
  <c r="AO84" i="5" s="1"/>
  <c r="AO93" i="5" s="1"/>
  <c r="AO102" i="5" s="1"/>
  <c r="AB48" i="5"/>
  <c r="AC57" i="5" s="1"/>
  <c r="AD66" i="5" s="1"/>
  <c r="AE75" i="5" s="1"/>
  <c r="AF84" i="5" s="1"/>
  <c r="AG93" i="5" s="1"/>
  <c r="AH102" i="5" s="1"/>
  <c r="AX50" i="5"/>
  <c r="AP39" i="5"/>
  <c r="AP49" i="5" s="1"/>
  <c r="AP67" i="5" s="1"/>
  <c r="AP76" i="5" s="1"/>
  <c r="AP85" i="5" s="1"/>
  <c r="AP94" i="5" s="1"/>
  <c r="AP103" i="5" s="1"/>
  <c r="AQ39" i="5"/>
  <c r="AQ49" i="5" s="1"/>
  <c r="AQ58" i="5" s="1"/>
  <c r="AQ76" i="5" s="1"/>
  <c r="AQ85" i="5" s="1"/>
  <c r="AQ94" i="5" s="1"/>
  <c r="AQ103" i="5" s="1"/>
  <c r="AR39" i="5"/>
  <c r="AR49" i="5" s="1"/>
  <c r="AR58" i="5" s="1"/>
  <c r="AR67" i="5" s="1"/>
  <c r="AR85" i="5" s="1"/>
  <c r="AR94" i="5" s="1"/>
  <c r="AR103" i="5" s="1"/>
  <c r="AS39" i="5"/>
  <c r="AS49" i="5" s="1"/>
  <c r="AS58" i="5" s="1"/>
  <c r="AS67" i="5" s="1"/>
  <c r="AS76" i="5" s="1"/>
  <c r="AS94" i="5" s="1"/>
  <c r="AS103" i="5" s="1"/>
  <c r="AT39" i="5"/>
  <c r="AT49" i="5" s="1"/>
  <c r="AT58" i="5" s="1"/>
  <c r="AT67" i="5" s="1"/>
  <c r="AT76" i="5" s="1"/>
  <c r="AT85" i="5" s="1"/>
  <c r="AT103" i="5" s="1"/>
  <c r="AU39" i="5"/>
  <c r="AU49" i="5" s="1"/>
  <c r="AU58" i="5" s="1"/>
  <c r="AU67" i="5" s="1"/>
  <c r="AU76" i="5" s="1"/>
  <c r="AU85" i="5" s="1"/>
  <c r="AU94" i="5" s="1"/>
  <c r="AO39" i="5"/>
  <c r="AO58" i="5" s="1"/>
  <c r="AO67" i="5" s="1"/>
  <c r="AO76" i="5" s="1"/>
  <c r="AO85" i="5" s="1"/>
  <c r="AO94" i="5" s="1"/>
  <c r="AO103" i="5" s="1"/>
  <c r="AB49" i="5"/>
  <c r="AC58" i="5" s="1"/>
  <c r="AD67" i="5" s="1"/>
  <c r="AE76" i="5" s="1"/>
  <c r="AF85" i="5" s="1"/>
  <c r="AG94" i="5" s="1"/>
  <c r="AH103" i="5" s="1"/>
  <c r="AX52" i="5"/>
  <c r="AP41" i="5"/>
  <c r="AP51" i="5" s="1"/>
  <c r="AP69" i="5" s="1"/>
  <c r="AP78" i="5" s="1"/>
  <c r="AP87" i="5" s="1"/>
  <c r="AP96" i="5" s="1"/>
  <c r="AP105" i="5" s="1"/>
  <c r="AQ41" i="5"/>
  <c r="AQ51" i="5" s="1"/>
  <c r="AQ60" i="5" s="1"/>
  <c r="AQ78" i="5" s="1"/>
  <c r="AQ87" i="5" s="1"/>
  <c r="AQ96" i="5" s="1"/>
  <c r="AQ105" i="5" s="1"/>
  <c r="AR41" i="5"/>
  <c r="AR51" i="5" s="1"/>
  <c r="AR60" i="5" s="1"/>
  <c r="AR69" i="5" s="1"/>
  <c r="AR87" i="5" s="1"/>
  <c r="AR96" i="5" s="1"/>
  <c r="AR105" i="5" s="1"/>
  <c r="AS41" i="5"/>
  <c r="AS51" i="5" s="1"/>
  <c r="AS60" i="5" s="1"/>
  <c r="AS69" i="5" s="1"/>
  <c r="AS78" i="5" s="1"/>
  <c r="AS96" i="5" s="1"/>
  <c r="AS105" i="5" s="1"/>
  <c r="AT41" i="5"/>
  <c r="AT51" i="5" s="1"/>
  <c r="AT60" i="5" s="1"/>
  <c r="AT69" i="5" s="1"/>
  <c r="AT78" i="5" s="1"/>
  <c r="AT87" i="5" s="1"/>
  <c r="AT105" i="5" s="1"/>
  <c r="AU41" i="5"/>
  <c r="AU51" i="5" s="1"/>
  <c r="AU60" i="5" s="1"/>
  <c r="AU69" i="5" s="1"/>
  <c r="AU78" i="5" s="1"/>
  <c r="AU87" i="5" s="1"/>
  <c r="AU96" i="5" s="1"/>
  <c r="AO41" i="5"/>
  <c r="AO60" i="5" s="1"/>
  <c r="AO69" i="5" s="1"/>
  <c r="AO78" i="5" s="1"/>
  <c r="AO87" i="5" s="1"/>
  <c r="AO96" i="5" s="1"/>
  <c r="AO105" i="5" s="1"/>
  <c r="AB51" i="5"/>
  <c r="AC60" i="5" s="1"/>
  <c r="AD69" i="5" s="1"/>
  <c r="AE78" i="5" s="1"/>
  <c r="AF87" i="5" s="1"/>
  <c r="AG96" i="5" s="1"/>
  <c r="AH105" i="5" s="1"/>
  <c r="AX48" i="5"/>
  <c r="AP37" i="5"/>
  <c r="AP47" i="5" s="1"/>
  <c r="AP65" i="5" s="1"/>
  <c r="AP74" i="5" s="1"/>
  <c r="AP83" i="5" s="1"/>
  <c r="AP92" i="5" s="1"/>
  <c r="AP101" i="5" s="1"/>
  <c r="AQ37" i="5"/>
  <c r="AQ47" i="5" s="1"/>
  <c r="AQ56" i="5" s="1"/>
  <c r="AQ74" i="5" s="1"/>
  <c r="AQ83" i="5" s="1"/>
  <c r="AQ92" i="5" s="1"/>
  <c r="AQ101" i="5" s="1"/>
  <c r="AR37" i="5"/>
  <c r="AR47" i="5" s="1"/>
  <c r="AR56" i="5" s="1"/>
  <c r="AR65" i="5" s="1"/>
  <c r="AR83" i="5" s="1"/>
  <c r="AR92" i="5" s="1"/>
  <c r="AR101" i="5" s="1"/>
  <c r="AS37" i="5"/>
  <c r="AS47" i="5" s="1"/>
  <c r="AS56" i="5" s="1"/>
  <c r="AS65" i="5" s="1"/>
  <c r="AS74" i="5" s="1"/>
  <c r="AS92" i="5" s="1"/>
  <c r="AS101" i="5" s="1"/>
  <c r="AT37" i="5"/>
  <c r="AT47" i="5" s="1"/>
  <c r="AT56" i="5" s="1"/>
  <c r="AT65" i="5" s="1"/>
  <c r="AT74" i="5" s="1"/>
  <c r="AT83" i="5" s="1"/>
  <c r="AT101" i="5" s="1"/>
  <c r="AU37" i="5"/>
  <c r="AU47" i="5" s="1"/>
  <c r="AU56" i="5" s="1"/>
  <c r="AU65" i="5" s="1"/>
  <c r="AU74" i="5" s="1"/>
  <c r="AU83" i="5" s="1"/>
  <c r="AU92" i="5" s="1"/>
  <c r="AO37" i="5"/>
  <c r="AO56" i="5" s="1"/>
  <c r="AB47" i="5"/>
  <c r="AC56" i="5" s="1"/>
  <c r="AD65" i="5" s="1"/>
  <c r="AE74" i="5" s="1"/>
  <c r="AF83" i="5" s="1"/>
  <c r="AG92" i="5" s="1"/>
  <c r="AH101" i="5" s="1"/>
  <c r="AX54" i="5"/>
  <c r="AP43" i="5"/>
  <c r="AP53" i="5" s="1"/>
  <c r="AP71" i="5" s="1"/>
  <c r="AP80" i="5" s="1"/>
  <c r="AP89" i="5" s="1"/>
  <c r="AP98" i="5" s="1"/>
  <c r="AP107" i="5" s="1"/>
  <c r="AQ43" i="5"/>
  <c r="AQ53" i="5" s="1"/>
  <c r="AQ62" i="5" s="1"/>
  <c r="AQ80" i="5" s="1"/>
  <c r="AQ89" i="5" s="1"/>
  <c r="AQ98" i="5" s="1"/>
  <c r="AQ107" i="5" s="1"/>
  <c r="AR43" i="5"/>
  <c r="AR53" i="5" s="1"/>
  <c r="AR62" i="5" s="1"/>
  <c r="AR71" i="5" s="1"/>
  <c r="AR89" i="5" s="1"/>
  <c r="AR98" i="5" s="1"/>
  <c r="AR107" i="5" s="1"/>
  <c r="AS43" i="5"/>
  <c r="AS53" i="5" s="1"/>
  <c r="AS62" i="5" s="1"/>
  <c r="AS71" i="5" s="1"/>
  <c r="AS80" i="5" s="1"/>
  <c r="AS98" i="5" s="1"/>
  <c r="AS107" i="5" s="1"/>
  <c r="AT43" i="5"/>
  <c r="AT53" i="5" s="1"/>
  <c r="AT62" i="5" s="1"/>
  <c r="AT71" i="5" s="1"/>
  <c r="AT80" i="5" s="1"/>
  <c r="AT89" i="5" s="1"/>
  <c r="AT107" i="5" s="1"/>
  <c r="AU43" i="5"/>
  <c r="AU53" i="5" s="1"/>
  <c r="AU62" i="5" s="1"/>
  <c r="AU71" i="5" s="1"/>
  <c r="AU80" i="5" s="1"/>
  <c r="AU89" i="5" s="1"/>
  <c r="AU98" i="5" s="1"/>
  <c r="AO43" i="5"/>
  <c r="AO62" i="5" s="1"/>
  <c r="AO71" i="5" s="1"/>
  <c r="AO80" i="5" s="1"/>
  <c r="AO89" i="5" s="1"/>
  <c r="AO98" i="5" s="1"/>
  <c r="AO107" i="5" s="1"/>
  <c r="AB53" i="5"/>
  <c r="AC62" i="5" s="1"/>
  <c r="AD71" i="5" s="1"/>
  <c r="AE80" i="5" s="1"/>
  <c r="AF89" i="5" s="1"/>
  <c r="AG98" i="5" s="1"/>
  <c r="AH107" i="5" s="1"/>
  <c r="AX53" i="5"/>
  <c r="AP42" i="5"/>
  <c r="AP52" i="5" s="1"/>
  <c r="AP70" i="5" s="1"/>
  <c r="AP79" i="5" s="1"/>
  <c r="AP88" i="5" s="1"/>
  <c r="AP97" i="5" s="1"/>
  <c r="AP106" i="5" s="1"/>
  <c r="AQ42" i="5"/>
  <c r="AQ52" i="5" s="1"/>
  <c r="AQ61" i="5" s="1"/>
  <c r="AQ79" i="5" s="1"/>
  <c r="AQ88" i="5" s="1"/>
  <c r="AQ97" i="5" s="1"/>
  <c r="AQ106" i="5" s="1"/>
  <c r="AR42" i="5"/>
  <c r="AR52" i="5" s="1"/>
  <c r="AR61" i="5" s="1"/>
  <c r="AR70" i="5" s="1"/>
  <c r="AR88" i="5" s="1"/>
  <c r="AR97" i="5" s="1"/>
  <c r="AR106" i="5" s="1"/>
  <c r="AS42" i="5"/>
  <c r="AS52" i="5" s="1"/>
  <c r="AS61" i="5" s="1"/>
  <c r="AS70" i="5" s="1"/>
  <c r="AS79" i="5" s="1"/>
  <c r="AS97" i="5" s="1"/>
  <c r="AS106" i="5" s="1"/>
  <c r="AT42" i="5"/>
  <c r="AT52" i="5" s="1"/>
  <c r="AT61" i="5" s="1"/>
  <c r="AT70" i="5" s="1"/>
  <c r="AT79" i="5" s="1"/>
  <c r="AT88" i="5" s="1"/>
  <c r="AT106" i="5" s="1"/>
  <c r="AU42" i="5"/>
  <c r="AU52" i="5" s="1"/>
  <c r="AU61" i="5" s="1"/>
  <c r="AU70" i="5" s="1"/>
  <c r="AU79" i="5" s="1"/>
  <c r="AU88" i="5" s="1"/>
  <c r="AU97" i="5" s="1"/>
  <c r="AO42" i="5"/>
  <c r="AO61" i="5" s="1"/>
  <c r="AO70" i="5" s="1"/>
  <c r="AO79" i="5" s="1"/>
  <c r="AO88" i="5" s="1"/>
  <c r="AO97" i="5" s="1"/>
  <c r="AO106" i="5" s="1"/>
  <c r="AB52" i="5"/>
  <c r="AC61" i="5" s="1"/>
  <c r="AD70" i="5" s="1"/>
  <c r="AE79" i="5" s="1"/>
  <c r="AF88" i="5" s="1"/>
  <c r="AG97" i="5" s="1"/>
  <c r="AH106" i="5" s="1"/>
  <c r="AX51" i="5"/>
  <c r="AP40" i="5"/>
  <c r="AP50" i="5" s="1"/>
  <c r="AP68" i="5" s="1"/>
  <c r="AP77" i="5" s="1"/>
  <c r="AP86" i="5" s="1"/>
  <c r="AP95" i="5" s="1"/>
  <c r="AP104" i="5" s="1"/>
  <c r="AQ40" i="5"/>
  <c r="AQ50" i="5" s="1"/>
  <c r="AQ59" i="5" s="1"/>
  <c r="AQ77" i="5" s="1"/>
  <c r="AQ86" i="5" s="1"/>
  <c r="AQ95" i="5" s="1"/>
  <c r="AQ104" i="5" s="1"/>
  <c r="AR40" i="5"/>
  <c r="AR50" i="5" s="1"/>
  <c r="AR59" i="5" s="1"/>
  <c r="AR68" i="5" s="1"/>
  <c r="AR86" i="5" s="1"/>
  <c r="AR95" i="5" s="1"/>
  <c r="AR104" i="5" s="1"/>
  <c r="AS40" i="5"/>
  <c r="AS50" i="5" s="1"/>
  <c r="AS59" i="5" s="1"/>
  <c r="AS68" i="5" s="1"/>
  <c r="AS77" i="5" s="1"/>
  <c r="AS95" i="5" s="1"/>
  <c r="AS104" i="5" s="1"/>
  <c r="AT40" i="5"/>
  <c r="AT50" i="5" s="1"/>
  <c r="AT59" i="5" s="1"/>
  <c r="AT68" i="5" s="1"/>
  <c r="AT77" i="5" s="1"/>
  <c r="AT86" i="5" s="1"/>
  <c r="AT104" i="5" s="1"/>
  <c r="AU40" i="5"/>
  <c r="AU50" i="5" s="1"/>
  <c r="AU59" i="5" s="1"/>
  <c r="AU68" i="5" s="1"/>
  <c r="AU77" i="5" s="1"/>
  <c r="AU86" i="5" s="1"/>
  <c r="AU95" i="5" s="1"/>
  <c r="AO40" i="5"/>
  <c r="AO59" i="5" s="1"/>
  <c r="AO68" i="5" s="1"/>
  <c r="AO77" i="5" s="1"/>
  <c r="AO86" i="5" s="1"/>
  <c r="AO95" i="5" s="1"/>
  <c r="AO104" i="5" s="1"/>
  <c r="AB50" i="5"/>
  <c r="AC59" i="5" s="1"/>
  <c r="AD68" i="5" s="1"/>
  <c r="AE77" i="5" s="1"/>
  <c r="AF86" i="5" s="1"/>
  <c r="AG95" i="5" s="1"/>
  <c r="AH104" i="5" s="1"/>
  <c r="BK107" i="5"/>
  <c r="BK57" i="5"/>
  <c r="AH40" i="5"/>
  <c r="AH50" i="5" s="1"/>
  <c r="AH59" i="5" s="1"/>
  <c r="AH68" i="5" s="1"/>
  <c r="AH77" i="5" s="1"/>
  <c r="AH86" i="5" s="1"/>
  <c r="AH95" i="5" s="1"/>
  <c r="AC40" i="5"/>
  <c r="AC50" i="5" s="1"/>
  <c r="AB40" i="5"/>
  <c r="AF40" i="5"/>
  <c r="AF50" i="5" s="1"/>
  <c r="AF59" i="5" s="1"/>
  <c r="AF68" i="5" s="1"/>
  <c r="AF77" i="5" s="1"/>
  <c r="AF95" i="5" s="1"/>
  <c r="AF104" i="5" s="1"/>
  <c r="AD40" i="5"/>
  <c r="AD50" i="5" s="1"/>
  <c r="AD59" i="5" s="1"/>
  <c r="AD77" i="5" s="1"/>
  <c r="AD86" i="5" s="1"/>
  <c r="AD95" i="5" s="1"/>
  <c r="AD104" i="5" s="1"/>
  <c r="AG40" i="5"/>
  <c r="AG50" i="5" s="1"/>
  <c r="AG59" i="5" s="1"/>
  <c r="AG68" i="5" s="1"/>
  <c r="AG77" i="5" s="1"/>
  <c r="AG86" i="5" s="1"/>
  <c r="AG104" i="5" s="1"/>
  <c r="AE40" i="5"/>
  <c r="AE50" i="5" s="1"/>
  <c r="AE59" i="5" s="1"/>
  <c r="AE68" i="5" s="1"/>
  <c r="AE86" i="5" s="1"/>
  <c r="AE95" i="5" s="1"/>
  <c r="AE104" i="5" s="1"/>
  <c r="J24" i="14"/>
  <c r="J33" i="14"/>
  <c r="J32" i="14"/>
  <c r="G13" i="5" s="1"/>
  <c r="BB53" i="5" s="1"/>
  <c r="BC62" i="5" s="1"/>
  <c r="BD71" i="5" s="1"/>
  <c r="BE80" i="5" s="1"/>
  <c r="BF89" i="5" s="1"/>
  <c r="BG98" i="5" s="1"/>
  <c r="BH107" i="5" s="1"/>
  <c r="J20" i="14"/>
  <c r="J16" i="14"/>
  <c r="J25" i="14"/>
  <c r="G11" i="5" s="1"/>
  <c r="BB51" i="5" s="1"/>
  <c r="BC60" i="5" s="1"/>
  <c r="BD69" i="5" s="1"/>
  <c r="BE78" i="5" s="1"/>
  <c r="BF87" i="5" s="1"/>
  <c r="BG96" i="5" s="1"/>
  <c r="BH105" i="5" s="1"/>
  <c r="J13" i="14"/>
  <c r="J21" i="14"/>
  <c r="J29" i="14"/>
  <c r="G12" i="5" s="1"/>
  <c r="BB52" i="5" s="1"/>
  <c r="BC61" i="5" s="1"/>
  <c r="BD70" i="5" s="1"/>
  <c r="BE79" i="5" s="1"/>
  <c r="BF88" i="5" s="1"/>
  <c r="BG97" i="5" s="1"/>
  <c r="BH106" i="5" s="1"/>
  <c r="J9" i="14"/>
  <c r="J17" i="14"/>
  <c r="J8" i="14"/>
  <c r="X57" i="5"/>
  <c r="X107" i="5"/>
  <c r="V37" i="5"/>
  <c r="K52" i="5"/>
  <c r="G41" i="5"/>
  <c r="G51" i="5" s="1"/>
  <c r="G60" i="5" s="1"/>
  <c r="G69" i="5" s="1"/>
  <c r="G78" i="5" s="1"/>
  <c r="G87" i="5" s="1"/>
  <c r="G105" i="5" s="1"/>
  <c r="E41" i="5"/>
  <c r="E51" i="5" s="1"/>
  <c r="E60" i="5" s="1"/>
  <c r="E69" i="5" s="1"/>
  <c r="E87" i="5" s="1"/>
  <c r="E96" i="5" s="1"/>
  <c r="E105" i="5" s="1"/>
  <c r="C41" i="5"/>
  <c r="C51" i="5" s="1"/>
  <c r="C69" i="5" s="1"/>
  <c r="C78" i="5" s="1"/>
  <c r="C87" i="5" s="1"/>
  <c r="C96" i="5" s="1"/>
  <c r="C105" i="5" s="1"/>
  <c r="H41" i="5"/>
  <c r="H51" i="5" s="1"/>
  <c r="H60" i="5" s="1"/>
  <c r="H69" i="5" s="1"/>
  <c r="H78" i="5" s="1"/>
  <c r="H87" i="5" s="1"/>
  <c r="H96" i="5" s="1"/>
  <c r="F41" i="5"/>
  <c r="F51" i="5" s="1"/>
  <c r="F60" i="5" s="1"/>
  <c r="F69" i="5" s="1"/>
  <c r="F78" i="5" s="1"/>
  <c r="F96" i="5" s="1"/>
  <c r="F105" i="5" s="1"/>
  <c r="D41" i="5"/>
  <c r="D51" i="5" s="1"/>
  <c r="D60" i="5" s="1"/>
  <c r="D78" i="5" s="1"/>
  <c r="D87" i="5" s="1"/>
  <c r="D96" i="5" s="1"/>
  <c r="D105" i="5" s="1"/>
  <c r="B41" i="5"/>
  <c r="B60" i="5" s="1"/>
  <c r="B69" i="5" s="1"/>
  <c r="B78" i="5" s="1"/>
  <c r="B87" i="5" s="1"/>
  <c r="B96" i="5" s="1"/>
  <c r="B105" i="5" s="1"/>
  <c r="K50" i="5"/>
  <c r="E39" i="5"/>
  <c r="E49" i="5" s="1"/>
  <c r="E58" i="5" s="1"/>
  <c r="E67" i="5" s="1"/>
  <c r="E85" i="5" s="1"/>
  <c r="E94" i="5" s="1"/>
  <c r="E103" i="5" s="1"/>
  <c r="G39" i="5"/>
  <c r="G49" i="5" s="1"/>
  <c r="G58" i="5" s="1"/>
  <c r="G67" i="5" s="1"/>
  <c r="G76" i="5" s="1"/>
  <c r="G85" i="5" s="1"/>
  <c r="G103" i="5" s="1"/>
  <c r="C39" i="5"/>
  <c r="C49" i="5" s="1"/>
  <c r="C67" i="5" s="1"/>
  <c r="C76" i="5" s="1"/>
  <c r="C85" i="5" s="1"/>
  <c r="C94" i="5" s="1"/>
  <c r="C103" i="5" s="1"/>
  <c r="H39" i="5"/>
  <c r="H49" i="5" s="1"/>
  <c r="H58" i="5" s="1"/>
  <c r="H67" i="5" s="1"/>
  <c r="H76" i="5" s="1"/>
  <c r="H85" i="5" s="1"/>
  <c r="H94" i="5" s="1"/>
  <c r="F39" i="5"/>
  <c r="F49" i="5" s="1"/>
  <c r="F58" i="5" s="1"/>
  <c r="F67" i="5" s="1"/>
  <c r="F76" i="5" s="1"/>
  <c r="F94" i="5" s="1"/>
  <c r="F103" i="5" s="1"/>
  <c r="D39" i="5"/>
  <c r="D49" i="5" s="1"/>
  <c r="D58" i="5" s="1"/>
  <c r="D76" i="5" s="1"/>
  <c r="D85" i="5" s="1"/>
  <c r="D94" i="5" s="1"/>
  <c r="D103" i="5" s="1"/>
  <c r="B39" i="5"/>
  <c r="B58" i="5" s="1"/>
  <c r="B67" i="5" s="1"/>
  <c r="B76" i="5" s="1"/>
  <c r="B85" i="5" s="1"/>
  <c r="B94" i="5" s="1"/>
  <c r="B103" i="5" s="1"/>
  <c r="G43" i="5"/>
  <c r="G53" i="5" s="1"/>
  <c r="G62" i="5" s="1"/>
  <c r="G71" i="5" s="1"/>
  <c r="G80" i="5" s="1"/>
  <c r="G89" i="5" s="1"/>
  <c r="G107" i="5" s="1"/>
  <c r="E43" i="5"/>
  <c r="E53" i="5" s="1"/>
  <c r="E62" i="5" s="1"/>
  <c r="E71" i="5" s="1"/>
  <c r="E89" i="5" s="1"/>
  <c r="E98" i="5" s="1"/>
  <c r="E107" i="5" s="1"/>
  <c r="C43" i="5"/>
  <c r="C53" i="5" s="1"/>
  <c r="C71" i="5" s="1"/>
  <c r="C80" i="5" s="1"/>
  <c r="C89" i="5" s="1"/>
  <c r="C98" i="5" s="1"/>
  <c r="C107" i="5" s="1"/>
  <c r="K54" i="5"/>
  <c r="D43" i="5"/>
  <c r="D53" i="5" s="1"/>
  <c r="D62" i="5" s="1"/>
  <c r="D80" i="5" s="1"/>
  <c r="D89" i="5" s="1"/>
  <c r="D98" i="5" s="1"/>
  <c r="D107" i="5" s="1"/>
  <c r="B43" i="5"/>
  <c r="B62" i="5" s="1"/>
  <c r="B71" i="5" s="1"/>
  <c r="B80" i="5" s="1"/>
  <c r="B89" i="5" s="1"/>
  <c r="B98" i="5" s="1"/>
  <c r="B107" i="5" s="1"/>
  <c r="H43" i="5"/>
  <c r="H53" i="5" s="1"/>
  <c r="H62" i="5" s="1"/>
  <c r="H71" i="5" s="1"/>
  <c r="H80" i="5" s="1"/>
  <c r="H89" i="5" s="1"/>
  <c r="H98" i="5" s="1"/>
  <c r="F43" i="5"/>
  <c r="F53" i="5" s="1"/>
  <c r="F62" i="5" s="1"/>
  <c r="F71" i="5" s="1"/>
  <c r="F80" i="5" s="1"/>
  <c r="F98" i="5" s="1"/>
  <c r="F107" i="5" s="1"/>
  <c r="K51" i="5"/>
  <c r="G40" i="5"/>
  <c r="G50" i="5" s="1"/>
  <c r="G59" i="5" s="1"/>
  <c r="G68" i="5" s="1"/>
  <c r="G77" i="5" s="1"/>
  <c r="G86" i="5" s="1"/>
  <c r="G104" i="5" s="1"/>
  <c r="E40" i="5"/>
  <c r="E50" i="5" s="1"/>
  <c r="E59" i="5" s="1"/>
  <c r="E68" i="5" s="1"/>
  <c r="E86" i="5" s="1"/>
  <c r="E95" i="5" s="1"/>
  <c r="E104" i="5" s="1"/>
  <c r="C40" i="5"/>
  <c r="C50" i="5" s="1"/>
  <c r="C68" i="5" s="1"/>
  <c r="C77" i="5" s="1"/>
  <c r="C86" i="5" s="1"/>
  <c r="C95" i="5" s="1"/>
  <c r="C104" i="5" s="1"/>
  <c r="H40" i="5"/>
  <c r="H50" i="5" s="1"/>
  <c r="H59" i="5" s="1"/>
  <c r="H68" i="5" s="1"/>
  <c r="H77" i="5" s="1"/>
  <c r="H86" i="5" s="1"/>
  <c r="H95" i="5" s="1"/>
  <c r="F40" i="5"/>
  <c r="F50" i="5" s="1"/>
  <c r="F59" i="5" s="1"/>
  <c r="F68" i="5" s="1"/>
  <c r="F77" i="5" s="1"/>
  <c r="F95" i="5" s="1"/>
  <c r="F104" i="5" s="1"/>
  <c r="D40" i="5"/>
  <c r="D50" i="5" s="1"/>
  <c r="D59" i="5" s="1"/>
  <c r="D77" i="5" s="1"/>
  <c r="D86" i="5" s="1"/>
  <c r="D95" i="5" s="1"/>
  <c r="D104" i="5" s="1"/>
  <c r="B40" i="5"/>
  <c r="B59" i="5" s="1"/>
  <c r="B68" i="5" s="1"/>
  <c r="B77" i="5" s="1"/>
  <c r="B86" i="5" s="1"/>
  <c r="B95" i="5" s="1"/>
  <c r="B104" i="5" s="1"/>
  <c r="G37" i="5"/>
  <c r="G47" i="5" s="1"/>
  <c r="G56" i="5" s="1"/>
  <c r="G65" i="5" s="1"/>
  <c r="G74" i="5" s="1"/>
  <c r="G83" i="5" s="1"/>
  <c r="G101" i="5" s="1"/>
  <c r="E37" i="5"/>
  <c r="E47" i="5" s="1"/>
  <c r="E56" i="5" s="1"/>
  <c r="E65" i="5" s="1"/>
  <c r="E83" i="5" s="1"/>
  <c r="E92" i="5" s="1"/>
  <c r="E101" i="5" s="1"/>
  <c r="C37" i="5"/>
  <c r="C47" i="5" s="1"/>
  <c r="C65" i="5" s="1"/>
  <c r="C74" i="5" s="1"/>
  <c r="C83" i="5" s="1"/>
  <c r="C92" i="5" s="1"/>
  <c r="C101" i="5" s="1"/>
  <c r="D37" i="5"/>
  <c r="D47" i="5" s="1"/>
  <c r="D56" i="5" s="1"/>
  <c r="D74" i="5" s="1"/>
  <c r="D83" i="5" s="1"/>
  <c r="D92" i="5" s="1"/>
  <c r="D101" i="5" s="1"/>
  <c r="F37" i="5"/>
  <c r="F47" i="5" s="1"/>
  <c r="F56" i="5" s="1"/>
  <c r="F65" i="5" s="1"/>
  <c r="F74" i="5" s="1"/>
  <c r="F92" i="5" s="1"/>
  <c r="F101" i="5" s="1"/>
  <c r="H37" i="5"/>
  <c r="H47" i="5" s="1"/>
  <c r="H56" i="5" s="1"/>
  <c r="H65" i="5" s="1"/>
  <c r="H74" i="5" s="1"/>
  <c r="H83" i="5" s="1"/>
  <c r="H92" i="5" s="1"/>
  <c r="B37" i="5"/>
  <c r="B56" i="5" s="1"/>
  <c r="B65" i="5" s="1"/>
  <c r="B74" i="5" s="1"/>
  <c r="B83" i="5" s="1"/>
  <c r="B92" i="5" s="1"/>
  <c r="B101" i="5" s="1"/>
  <c r="B38" i="5"/>
  <c r="B57" i="5" s="1"/>
  <c r="B66" i="5" s="1"/>
  <c r="B75" i="5" s="1"/>
  <c r="B84" i="5" s="1"/>
  <c r="B93" i="5" s="1"/>
  <c r="B102" i="5" s="1"/>
  <c r="D38" i="5"/>
  <c r="D48" i="5" s="1"/>
  <c r="D57" i="5" s="1"/>
  <c r="D75" i="5" s="1"/>
  <c r="D84" i="5" s="1"/>
  <c r="D93" i="5" s="1"/>
  <c r="D102" i="5" s="1"/>
  <c r="H38" i="5"/>
  <c r="H48" i="5" s="1"/>
  <c r="H57" i="5" s="1"/>
  <c r="H66" i="5" s="1"/>
  <c r="H75" i="5" s="1"/>
  <c r="H84" i="5" s="1"/>
  <c r="H93" i="5" s="1"/>
  <c r="F38" i="5"/>
  <c r="F48" i="5" s="1"/>
  <c r="F57" i="5" s="1"/>
  <c r="F66" i="5" s="1"/>
  <c r="F75" i="5" s="1"/>
  <c r="F93" i="5" s="1"/>
  <c r="F102" i="5" s="1"/>
  <c r="E38" i="5"/>
  <c r="E48" i="5" s="1"/>
  <c r="E57" i="5" s="1"/>
  <c r="E66" i="5" s="1"/>
  <c r="E84" i="5" s="1"/>
  <c r="E93" i="5" s="1"/>
  <c r="E102" i="5" s="1"/>
  <c r="G38" i="5"/>
  <c r="G48" i="5" s="1"/>
  <c r="G57" i="5" s="1"/>
  <c r="G66" i="5" s="1"/>
  <c r="G75" i="5" s="1"/>
  <c r="G84" i="5" s="1"/>
  <c r="G102" i="5" s="1"/>
  <c r="C38" i="5"/>
  <c r="C48" i="5" s="1"/>
  <c r="C66" i="5" s="1"/>
  <c r="C75" i="5" s="1"/>
  <c r="C84" i="5" s="1"/>
  <c r="C93" i="5" s="1"/>
  <c r="C102" i="5" s="1"/>
  <c r="K49" i="5"/>
  <c r="G42" i="5"/>
  <c r="G52" i="5" s="1"/>
  <c r="G61" i="5" s="1"/>
  <c r="G70" i="5" s="1"/>
  <c r="G79" i="5" s="1"/>
  <c r="G88" i="5" s="1"/>
  <c r="G106" i="5" s="1"/>
  <c r="E42" i="5"/>
  <c r="E52" i="5" s="1"/>
  <c r="E61" i="5" s="1"/>
  <c r="E70" i="5" s="1"/>
  <c r="E88" i="5" s="1"/>
  <c r="E97" i="5" s="1"/>
  <c r="E106" i="5" s="1"/>
  <c r="C42" i="5"/>
  <c r="C52" i="5" s="1"/>
  <c r="C70" i="5" s="1"/>
  <c r="C79" i="5" s="1"/>
  <c r="C88" i="5" s="1"/>
  <c r="C97" i="5" s="1"/>
  <c r="C106" i="5" s="1"/>
  <c r="K53" i="5"/>
  <c r="F42" i="5"/>
  <c r="F52" i="5" s="1"/>
  <c r="F61" i="5" s="1"/>
  <c r="F70" i="5" s="1"/>
  <c r="F79" i="5" s="1"/>
  <c r="F97" i="5" s="1"/>
  <c r="F106" i="5" s="1"/>
  <c r="H42" i="5"/>
  <c r="H52" i="5" s="1"/>
  <c r="H61" i="5" s="1"/>
  <c r="H70" i="5" s="1"/>
  <c r="H79" i="5" s="1"/>
  <c r="H88" i="5" s="1"/>
  <c r="H97" i="5" s="1"/>
  <c r="D42" i="5"/>
  <c r="D52" i="5" s="1"/>
  <c r="D61" i="5" s="1"/>
  <c r="D79" i="5" s="1"/>
  <c r="D88" i="5" s="1"/>
  <c r="D97" i="5" s="1"/>
  <c r="D106" i="5" s="1"/>
  <c r="B42" i="5"/>
  <c r="B61" i="5" s="1"/>
  <c r="B70" i="5" s="1"/>
  <c r="B79" i="5" s="1"/>
  <c r="B88" i="5" s="1"/>
  <c r="B97" i="5" s="1"/>
  <c r="B106" i="5" s="1"/>
  <c r="P12" i="6"/>
  <c r="Q12" i="6"/>
  <c r="G8" i="5" l="1"/>
  <c r="BB48" i="5" s="1"/>
  <c r="BC57" i="5" s="1"/>
  <c r="BD66" i="5" s="1"/>
  <c r="BE75" i="5" s="1"/>
  <c r="BF84" i="5" s="1"/>
  <c r="BG93" i="5" s="1"/>
  <c r="BH102" i="5" s="1"/>
  <c r="P61" i="5"/>
  <c r="V47" i="5"/>
  <c r="Y37" i="5" s="1"/>
  <c r="AO65" i="5"/>
  <c r="AP56" i="5"/>
  <c r="AV47" i="5"/>
  <c r="BK58" i="5"/>
  <c r="AX107" i="5"/>
  <c r="AX57" i="5"/>
  <c r="AK57" i="5"/>
  <c r="AK107" i="5"/>
  <c r="AB59" i="5"/>
  <c r="AI37" i="5"/>
  <c r="AC68" i="5"/>
  <c r="AC77" i="5" s="1"/>
  <c r="AC86" i="5" s="1"/>
  <c r="AC95" i="5" s="1"/>
  <c r="AC104" i="5" s="1"/>
  <c r="AI47" i="5"/>
  <c r="G7" i="5"/>
  <c r="BB47" i="5" s="1"/>
  <c r="G10" i="5"/>
  <c r="BB50" i="5" s="1"/>
  <c r="BC59" i="5" s="1"/>
  <c r="BD68" i="5" s="1"/>
  <c r="BE77" i="5" s="1"/>
  <c r="BF86" i="5" s="1"/>
  <c r="BG95" i="5" s="1"/>
  <c r="BH104" i="5" s="1"/>
  <c r="G9" i="5"/>
  <c r="BB49" i="5" s="1"/>
  <c r="BC58" i="5" s="1"/>
  <c r="BD67" i="5" s="1"/>
  <c r="BE76" i="5" s="1"/>
  <c r="BF85" i="5" s="1"/>
  <c r="BG94" i="5" s="1"/>
  <c r="BH103" i="5" s="1"/>
  <c r="I83" i="5"/>
  <c r="I92" i="5"/>
  <c r="I101" i="5"/>
  <c r="I74" i="5"/>
  <c r="I65" i="5"/>
  <c r="I37" i="5"/>
  <c r="I47" i="5"/>
  <c r="I56" i="5"/>
  <c r="K57" i="5"/>
  <c r="K107" i="5"/>
  <c r="V56" i="5" l="1"/>
  <c r="Y38" i="5" s="1"/>
  <c r="Q70" i="5"/>
  <c r="AL37" i="5"/>
  <c r="BC56" i="5"/>
  <c r="BI47" i="5"/>
  <c r="BL37" i="5" s="1"/>
  <c r="AQ65" i="5"/>
  <c r="AR74" i="5" s="1"/>
  <c r="AS83" i="5" s="1"/>
  <c r="AT92" i="5" s="1"/>
  <c r="AU101" i="5" s="1"/>
  <c r="AV56" i="5"/>
  <c r="AO74" i="5"/>
  <c r="AV65" i="5"/>
  <c r="AX58" i="5"/>
  <c r="BK59" i="5"/>
  <c r="AB68" i="5"/>
  <c r="AI56" i="5"/>
  <c r="AL38" i="5" s="1"/>
  <c r="L41" i="5"/>
  <c r="K58" i="5"/>
  <c r="K59" i="5" s="1"/>
  <c r="L40" i="5"/>
  <c r="L39" i="5"/>
  <c r="L38" i="5"/>
  <c r="L43" i="5"/>
  <c r="L37" i="5"/>
  <c r="L42" i="5"/>
  <c r="V65" i="5" l="1"/>
  <c r="Y39" i="5" s="1"/>
  <c r="R79" i="5"/>
  <c r="AO83" i="5"/>
  <c r="AV74" i="5"/>
  <c r="BD65" i="5"/>
  <c r="BI56" i="5"/>
  <c r="BL38" i="5" s="1"/>
  <c r="BK60" i="5"/>
  <c r="AX59" i="5"/>
  <c r="AB77" i="5"/>
  <c r="AI65" i="5"/>
  <c r="AL39" i="5" s="1"/>
  <c r="L107" i="5"/>
  <c r="L57" i="5"/>
  <c r="K60" i="5"/>
  <c r="L59" i="5"/>
  <c r="L58" i="5"/>
  <c r="L51" i="5"/>
  <c r="L53" i="5"/>
  <c r="L50" i="5"/>
  <c r="L54" i="5"/>
  <c r="L52" i="5"/>
  <c r="L49" i="5"/>
  <c r="L48" i="5"/>
  <c r="V74" i="5" l="1"/>
  <c r="Y40" i="5" s="1"/>
  <c r="S88" i="5"/>
  <c r="BE74" i="5"/>
  <c r="BI65" i="5"/>
  <c r="BL39" i="5" s="1"/>
  <c r="AO92" i="5"/>
  <c r="AV83" i="5"/>
  <c r="AX60" i="5"/>
  <c r="BK61" i="5"/>
  <c r="AB86" i="5"/>
  <c r="AI74" i="5"/>
  <c r="AL40" i="5" s="1"/>
  <c r="K61" i="5"/>
  <c r="L60" i="5"/>
  <c r="V83" i="5" l="1"/>
  <c r="Y41" i="5" s="1"/>
  <c r="T97" i="5"/>
  <c r="AO101" i="5"/>
  <c r="AV101" i="5" s="1"/>
  <c r="AV92" i="5"/>
  <c r="BF83" i="5"/>
  <c r="BI74" i="5"/>
  <c r="BL40" i="5" s="1"/>
  <c r="BK62" i="5"/>
  <c r="AX61" i="5"/>
  <c r="AB95" i="5"/>
  <c r="AI83" i="5"/>
  <c r="AL41" i="5" s="1"/>
  <c r="K62" i="5"/>
  <c r="L61" i="5"/>
  <c r="V92" i="5" l="1"/>
  <c r="Y42" i="5" s="1"/>
  <c r="U106" i="5"/>
  <c r="V101" i="5" s="1"/>
  <c r="Y43" i="5" s="1"/>
  <c r="BG92" i="5"/>
  <c r="BI83" i="5"/>
  <c r="BL41" i="5" s="1"/>
  <c r="AX62" i="5"/>
  <c r="BK63" i="5"/>
  <c r="AB104" i="5"/>
  <c r="AI101" i="5" s="1"/>
  <c r="AL43" i="5" s="1"/>
  <c r="AI92" i="5"/>
  <c r="AL42" i="5" s="1"/>
  <c r="K63" i="5"/>
  <c r="L62" i="5"/>
  <c r="Y57" i="5" l="1"/>
  <c r="Y48" i="5"/>
  <c r="Y52" i="5"/>
  <c r="Y49" i="5"/>
  <c r="Y51" i="5"/>
  <c r="Y54" i="5"/>
  <c r="Y53" i="5"/>
  <c r="Y50" i="5"/>
  <c r="BH101" i="5"/>
  <c r="BI101" i="5" s="1"/>
  <c r="BL43" i="5" s="1"/>
  <c r="BI92" i="5"/>
  <c r="BL42" i="5" s="1"/>
  <c r="AL51" i="5"/>
  <c r="AL50" i="5"/>
  <c r="AL54" i="5"/>
  <c r="AL53" i="5"/>
  <c r="AL48" i="5"/>
  <c r="AL52" i="5"/>
  <c r="AL49" i="5"/>
  <c r="AL57" i="5"/>
  <c r="BK64" i="5"/>
  <c r="AX63" i="5"/>
  <c r="K64" i="5"/>
  <c r="L63" i="5"/>
  <c r="BL63" i="5" l="1"/>
  <c r="BL62" i="5"/>
  <c r="BL61" i="5"/>
  <c r="BL60" i="5"/>
  <c r="BL59" i="5"/>
  <c r="BL58" i="5"/>
  <c r="BL48" i="5"/>
  <c r="BL57" i="5"/>
  <c r="BL107" i="5"/>
  <c r="BL49" i="5"/>
  <c r="BL52" i="5"/>
  <c r="BL53" i="5"/>
  <c r="BL54" i="5"/>
  <c r="BL50" i="5"/>
  <c r="BL51" i="5"/>
  <c r="AX64" i="5"/>
  <c r="BK65" i="5"/>
  <c r="BL64" i="5"/>
  <c r="K65" i="5"/>
  <c r="L64" i="5"/>
  <c r="BK66" i="5" l="1"/>
  <c r="BL65" i="5"/>
  <c r="AX65" i="5"/>
  <c r="K66" i="5"/>
  <c r="L65" i="5"/>
  <c r="AX66" i="5" l="1"/>
  <c r="BK67" i="5"/>
  <c r="BL66" i="5"/>
  <c r="K67" i="5"/>
  <c r="L66" i="5"/>
  <c r="BK68" i="5" l="1"/>
  <c r="BL67" i="5"/>
  <c r="AX67" i="5"/>
  <c r="K68" i="5"/>
  <c r="L67" i="5"/>
  <c r="AX68" i="5" l="1"/>
  <c r="BK69" i="5"/>
  <c r="BL68" i="5"/>
  <c r="K69" i="5"/>
  <c r="L68" i="5"/>
  <c r="BK70" i="5" l="1"/>
  <c r="BL69" i="5"/>
  <c r="AX69" i="5"/>
  <c r="K70" i="5"/>
  <c r="L69" i="5"/>
  <c r="AX70" i="5" l="1"/>
  <c r="BK71" i="5"/>
  <c r="BL70" i="5"/>
  <c r="K71" i="5"/>
  <c r="L70" i="5"/>
  <c r="BK72" i="5" l="1"/>
  <c r="BL71" i="5"/>
  <c r="AX71" i="5"/>
  <c r="K72" i="5"/>
  <c r="L71" i="5"/>
  <c r="AX72" i="5" l="1"/>
  <c r="BK73" i="5"/>
  <c r="BL72" i="5"/>
  <c r="K73" i="5"/>
  <c r="L72" i="5"/>
  <c r="BK74" i="5" l="1"/>
  <c r="BL73" i="5"/>
  <c r="AX73" i="5"/>
  <c r="K74" i="5"/>
  <c r="L73" i="5"/>
  <c r="AX74" i="5" l="1"/>
  <c r="BK75" i="5"/>
  <c r="BL74" i="5"/>
  <c r="K75" i="5"/>
  <c r="L74" i="5"/>
  <c r="BK76" i="5" l="1"/>
  <c r="BL75" i="5"/>
  <c r="AX75" i="5"/>
  <c r="K76" i="5"/>
  <c r="L75" i="5"/>
  <c r="AX76" i="5" l="1"/>
  <c r="BK77" i="5"/>
  <c r="BL76" i="5"/>
  <c r="K77" i="5"/>
  <c r="L76" i="5"/>
  <c r="BK78" i="5" l="1"/>
  <c r="BL77" i="5"/>
  <c r="AX77" i="5"/>
  <c r="K78" i="5"/>
  <c r="L77" i="5"/>
  <c r="AX78" i="5" l="1"/>
  <c r="BK79" i="5"/>
  <c r="BL78" i="5"/>
  <c r="K79" i="5"/>
  <c r="L78" i="5"/>
  <c r="BK80" i="5" l="1"/>
  <c r="BL79" i="5"/>
  <c r="AX79" i="5"/>
  <c r="K80" i="5"/>
  <c r="L79" i="5"/>
  <c r="AX80" i="5" l="1"/>
  <c r="BK81" i="5"/>
  <c r="BL80" i="5"/>
  <c r="K81" i="5"/>
  <c r="L80" i="5"/>
  <c r="BK82" i="5" l="1"/>
  <c r="BL81" i="5"/>
  <c r="AX81" i="5"/>
  <c r="K82" i="5"/>
  <c r="L81" i="5"/>
  <c r="AX82" i="5" l="1"/>
  <c r="BK83" i="5"/>
  <c r="BL82" i="5"/>
  <c r="K83" i="5"/>
  <c r="L82" i="5"/>
  <c r="BK84" i="5" l="1"/>
  <c r="BL83" i="5"/>
  <c r="AX83" i="5"/>
  <c r="K84" i="5"/>
  <c r="L83" i="5"/>
  <c r="AX84" i="5" l="1"/>
  <c r="BK85" i="5"/>
  <c r="BL84" i="5"/>
  <c r="K85" i="5"/>
  <c r="L84" i="5"/>
  <c r="BK86" i="5" l="1"/>
  <c r="BL85" i="5"/>
  <c r="AX85" i="5"/>
  <c r="K86" i="5"/>
  <c r="L85" i="5"/>
  <c r="AX86" i="5" l="1"/>
  <c r="BK87" i="5"/>
  <c r="BL86" i="5"/>
  <c r="K87" i="5"/>
  <c r="L86" i="5"/>
  <c r="BK88" i="5" l="1"/>
  <c r="BL87" i="5"/>
  <c r="AX87" i="5"/>
  <c r="K88" i="5"/>
  <c r="L87" i="5"/>
  <c r="AX88" i="5" l="1"/>
  <c r="BK89" i="5"/>
  <c r="BL88" i="5"/>
  <c r="K89" i="5"/>
  <c r="L88" i="5"/>
  <c r="BK90" i="5" l="1"/>
  <c r="BL89" i="5"/>
  <c r="AX89" i="5"/>
  <c r="K90" i="5"/>
  <c r="L89" i="5"/>
  <c r="AX90" i="5" l="1"/>
  <c r="BK91" i="5"/>
  <c r="BL90" i="5"/>
  <c r="K91" i="5"/>
  <c r="L90" i="5"/>
  <c r="BK92" i="5" l="1"/>
  <c r="BL91" i="5"/>
  <c r="AX91" i="5"/>
  <c r="K92" i="5"/>
  <c r="L91" i="5"/>
  <c r="AX92" i="5" l="1"/>
  <c r="BK93" i="5"/>
  <c r="BL92" i="5"/>
  <c r="K93" i="5"/>
  <c r="L92" i="5"/>
  <c r="BK94" i="5" l="1"/>
  <c r="BL93" i="5"/>
  <c r="AX93" i="5"/>
  <c r="K94" i="5"/>
  <c r="L93" i="5"/>
  <c r="AX94" i="5" l="1"/>
  <c r="BK95" i="5"/>
  <c r="BL94" i="5"/>
  <c r="K95" i="5"/>
  <c r="L94" i="5"/>
  <c r="BK96" i="5" l="1"/>
  <c r="BL95" i="5"/>
  <c r="AX95" i="5"/>
  <c r="K96" i="5"/>
  <c r="L95" i="5"/>
  <c r="AX96" i="5" l="1"/>
  <c r="BK97" i="5"/>
  <c r="BL96" i="5"/>
  <c r="K97" i="5"/>
  <c r="L96" i="5"/>
  <c r="BK98" i="5" l="1"/>
  <c r="BL97" i="5"/>
  <c r="AX97" i="5"/>
  <c r="K98" i="5"/>
  <c r="L97" i="5"/>
  <c r="AX98" i="5" l="1"/>
  <c r="BK99" i="5"/>
  <c r="BL98" i="5"/>
  <c r="K99" i="5"/>
  <c r="L98" i="5"/>
  <c r="BK100" i="5" l="1"/>
  <c r="BL99" i="5"/>
  <c r="AX99" i="5"/>
  <c r="K100" i="5"/>
  <c r="L99" i="5"/>
  <c r="AX100" i="5" l="1"/>
  <c r="BK101" i="5"/>
  <c r="BL100" i="5"/>
  <c r="K101" i="5"/>
  <c r="L100" i="5"/>
  <c r="BK102" i="5" l="1"/>
  <c r="BL101" i="5"/>
  <c r="AX101" i="5"/>
  <c r="K102" i="5"/>
  <c r="L101" i="5"/>
  <c r="AX102" i="5" l="1"/>
  <c r="BK103" i="5"/>
  <c r="BL102" i="5"/>
  <c r="K103" i="5"/>
  <c r="L102" i="5"/>
  <c r="BK104" i="5" l="1"/>
  <c r="BL103" i="5"/>
  <c r="AX103" i="5"/>
  <c r="K104" i="5"/>
  <c r="L103" i="5"/>
  <c r="AX104" i="5" l="1"/>
  <c r="BK105" i="5"/>
  <c r="BL104" i="5"/>
  <c r="K105" i="5"/>
  <c r="L104" i="5"/>
  <c r="BK106" i="5" l="1"/>
  <c r="BL106" i="5" s="1"/>
  <c r="BL105" i="5"/>
  <c r="AX105" i="5"/>
  <c r="K106" i="5"/>
  <c r="L106" i="5" s="1"/>
  <c r="L105" i="5"/>
  <c r="AX106" i="5" l="1"/>
  <c r="X58" i="5"/>
  <c r="Y58" i="5" s="1"/>
  <c r="Y107" i="5"/>
  <c r="X59" i="5" l="1"/>
  <c r="Y59" i="5" l="1"/>
  <c r="X60" i="5"/>
  <c r="X61" i="5" l="1"/>
  <c r="Y60" i="5"/>
  <c r="Y61" i="5" l="1"/>
  <c r="X62" i="5"/>
  <c r="X63" i="5" l="1"/>
  <c r="Y62" i="5"/>
  <c r="Y63" i="5" l="1"/>
  <c r="X64" i="5"/>
  <c r="X65" i="5" l="1"/>
  <c r="Y64" i="5"/>
  <c r="Y65" i="5" l="1"/>
  <c r="X66" i="5"/>
  <c r="X67" i="5" l="1"/>
  <c r="Y66" i="5"/>
  <c r="Y67" i="5" l="1"/>
  <c r="X68" i="5"/>
  <c r="Y68" i="5" l="1"/>
  <c r="X69" i="5"/>
  <c r="X70" i="5" l="1"/>
  <c r="Y69" i="5"/>
  <c r="X71" i="5" l="1"/>
  <c r="Y70" i="5"/>
  <c r="Y71" i="5" l="1"/>
  <c r="X72" i="5"/>
  <c r="X73" i="5" l="1"/>
  <c r="Y72" i="5"/>
  <c r="Y73" i="5" l="1"/>
  <c r="X74" i="5"/>
  <c r="Y74" i="5" l="1"/>
  <c r="X75" i="5"/>
  <c r="Y75" i="5" l="1"/>
  <c r="X76" i="5"/>
  <c r="X77" i="5" l="1"/>
  <c r="Y76" i="5"/>
  <c r="Y77" i="5" l="1"/>
  <c r="X78" i="5"/>
  <c r="Y78" i="5" l="1"/>
  <c r="X79" i="5"/>
  <c r="X80" i="5" l="1"/>
  <c r="Y79" i="5"/>
  <c r="X81" i="5" l="1"/>
  <c r="Y80" i="5"/>
  <c r="Y81" i="5" l="1"/>
  <c r="X82" i="5"/>
  <c r="Y82" i="5" l="1"/>
  <c r="X83" i="5"/>
  <c r="X84" i="5" l="1"/>
  <c r="Y83" i="5"/>
  <c r="X85" i="5" l="1"/>
  <c r="Y84" i="5"/>
  <c r="X86" i="5" l="1"/>
  <c r="Y85" i="5"/>
  <c r="Y86" i="5" l="1"/>
  <c r="X87" i="5"/>
  <c r="X88" i="5" l="1"/>
  <c r="Y87" i="5"/>
  <c r="X89" i="5" l="1"/>
  <c r="Y88" i="5"/>
  <c r="X90" i="5" l="1"/>
  <c r="Y89" i="5"/>
  <c r="X91" i="5" l="1"/>
  <c r="Y90" i="5"/>
  <c r="Y91" i="5" l="1"/>
  <c r="X92" i="5"/>
  <c r="Y92" i="5" l="1"/>
  <c r="X93" i="5"/>
  <c r="X94" i="5" l="1"/>
  <c r="Y93" i="5"/>
  <c r="Y94" i="5" l="1"/>
  <c r="X95" i="5"/>
  <c r="X96" i="5" l="1"/>
  <c r="Y95" i="5"/>
  <c r="Y96" i="5" l="1"/>
  <c r="X97" i="5"/>
  <c r="X98" i="5" l="1"/>
  <c r="Y97" i="5"/>
  <c r="Y98" i="5" l="1"/>
  <c r="X99" i="5"/>
  <c r="X100" i="5" l="1"/>
  <c r="Y99" i="5"/>
  <c r="Y100" i="5" l="1"/>
  <c r="X101" i="5"/>
  <c r="Y101" i="5" l="1"/>
  <c r="X102" i="5"/>
  <c r="Y102" i="5" l="1"/>
  <c r="X103" i="5"/>
  <c r="X104" i="5" l="1"/>
  <c r="Y103" i="5"/>
  <c r="X105" i="5" l="1"/>
  <c r="Y104" i="5"/>
  <c r="X106" i="5" l="1"/>
  <c r="Y106" i="5" s="1"/>
  <c r="Y105" i="5"/>
  <c r="AK58" i="5" l="1"/>
  <c r="AL107" i="5"/>
  <c r="AK59" i="5" l="1"/>
  <c r="AL58" i="5"/>
  <c r="AK60" i="5" l="1"/>
  <c r="AL59" i="5"/>
  <c r="AL60" i="5" l="1"/>
  <c r="AK61" i="5"/>
  <c r="AK62" i="5" l="1"/>
  <c r="AL61" i="5"/>
  <c r="AK63" i="5" l="1"/>
  <c r="AL62" i="5"/>
  <c r="AK64" i="5" l="1"/>
  <c r="AL63" i="5"/>
  <c r="AL64" i="5" l="1"/>
  <c r="AK65" i="5"/>
  <c r="AK66" i="5" l="1"/>
  <c r="AL65" i="5"/>
  <c r="AK67" i="5" l="1"/>
  <c r="AL66" i="5"/>
  <c r="AK68" i="5" l="1"/>
  <c r="AL67" i="5"/>
  <c r="AK69" i="5" l="1"/>
  <c r="AL68" i="5"/>
  <c r="AK70" i="5" l="1"/>
  <c r="AL69" i="5"/>
  <c r="AL70" i="5" l="1"/>
  <c r="AK71" i="5"/>
  <c r="AK72" i="5" l="1"/>
  <c r="AL71" i="5"/>
  <c r="AK73" i="5" l="1"/>
  <c r="AL72" i="5"/>
  <c r="AK74" i="5" l="1"/>
  <c r="AL73" i="5"/>
  <c r="AK75" i="5" l="1"/>
  <c r="AL74" i="5"/>
  <c r="AL75" i="5" l="1"/>
  <c r="AK76" i="5"/>
  <c r="AK77" i="5" l="1"/>
  <c r="AL76" i="5"/>
  <c r="AL77" i="5" l="1"/>
  <c r="AK78" i="5"/>
  <c r="AK79" i="5" l="1"/>
  <c r="AL78" i="5"/>
  <c r="AL79" i="5" l="1"/>
  <c r="AK80" i="5"/>
  <c r="AK81" i="5" l="1"/>
  <c r="AL80" i="5"/>
  <c r="AL81" i="5" l="1"/>
  <c r="AK82" i="5"/>
  <c r="AK83" i="5" l="1"/>
  <c r="AL82" i="5"/>
  <c r="AL83" i="5" l="1"/>
  <c r="AK84" i="5"/>
  <c r="AK85" i="5" l="1"/>
  <c r="AL84" i="5"/>
  <c r="AL85" i="5" l="1"/>
  <c r="AK86" i="5"/>
  <c r="AL86" i="5" l="1"/>
  <c r="AK87" i="5"/>
  <c r="AL87" i="5" l="1"/>
  <c r="AK88" i="5"/>
  <c r="AL88" i="5" l="1"/>
  <c r="AK89" i="5"/>
  <c r="AK90" i="5" l="1"/>
  <c r="AL89" i="5"/>
  <c r="AL90" i="5" l="1"/>
  <c r="AK91" i="5"/>
  <c r="AL91" i="5" l="1"/>
  <c r="AK92" i="5"/>
  <c r="AL92" i="5" l="1"/>
  <c r="AK93" i="5"/>
  <c r="AL93" i="5" l="1"/>
  <c r="AK94" i="5"/>
  <c r="AL94" i="5" l="1"/>
  <c r="AK95" i="5"/>
  <c r="AL95" i="5" l="1"/>
  <c r="AK96" i="5"/>
  <c r="AL96" i="5" l="1"/>
  <c r="AK97" i="5"/>
  <c r="AL97" i="5" l="1"/>
  <c r="AK98" i="5"/>
  <c r="AL98" i="5" l="1"/>
  <c r="AK99" i="5"/>
  <c r="AL99" i="5" l="1"/>
  <c r="AK100" i="5"/>
  <c r="AL100" i="5" l="1"/>
  <c r="AK101" i="5"/>
  <c r="AL101" i="5" l="1"/>
  <c r="AK102" i="5"/>
  <c r="AL102" i="5" l="1"/>
  <c r="AK103" i="5"/>
  <c r="AK104" i="5" l="1"/>
  <c r="AL103" i="5"/>
  <c r="AV37" i="5"/>
  <c r="AL104" i="5" l="1"/>
  <c r="AK105" i="5"/>
  <c r="AY42" i="5"/>
  <c r="AY39" i="5"/>
  <c r="AY37" i="5"/>
  <c r="AY40" i="5"/>
  <c r="AY38" i="5"/>
  <c r="AY43" i="5"/>
  <c r="AY41" i="5"/>
  <c r="AY57" i="5" l="1"/>
  <c r="AY107" i="5"/>
  <c r="AY58" i="5"/>
  <c r="AZ58" i="5" s="1"/>
  <c r="AY59" i="5"/>
  <c r="AZ59" i="5" s="1"/>
  <c r="AY60" i="5"/>
  <c r="AY61" i="5"/>
  <c r="AY62" i="5"/>
  <c r="AZ62" i="5" s="1"/>
  <c r="AY63" i="5"/>
  <c r="AZ63" i="5" s="1"/>
  <c r="AY64" i="5"/>
  <c r="AZ64" i="5" s="1"/>
  <c r="AY66" i="5"/>
  <c r="AY68" i="5"/>
  <c r="AY86" i="5"/>
  <c r="AY101" i="5"/>
  <c r="AY70" i="5"/>
  <c r="AY71" i="5"/>
  <c r="AZ71" i="5" s="1"/>
  <c r="AY72" i="5"/>
  <c r="AY73" i="5"/>
  <c r="AY74" i="5"/>
  <c r="AZ74" i="5" s="1"/>
  <c r="AY75" i="5"/>
  <c r="AZ75" i="5" s="1"/>
  <c r="AY76" i="5"/>
  <c r="AZ76" i="5" s="1"/>
  <c r="AY77" i="5"/>
  <c r="AY78" i="5"/>
  <c r="AZ78" i="5" s="1"/>
  <c r="AY79" i="5"/>
  <c r="AY83" i="5"/>
  <c r="AY85" i="5"/>
  <c r="AY88" i="5"/>
  <c r="AY80" i="5"/>
  <c r="AY81" i="5"/>
  <c r="AZ81" i="5" s="1"/>
  <c r="AY82" i="5"/>
  <c r="AZ82" i="5" s="1"/>
  <c r="AY84" i="5"/>
  <c r="AY100" i="5"/>
  <c r="AY89" i="5"/>
  <c r="AY90" i="5"/>
  <c r="AZ90" i="5" s="1"/>
  <c r="AY91" i="5"/>
  <c r="AZ91" i="5" s="1"/>
  <c r="AY92" i="5"/>
  <c r="AY93" i="5"/>
  <c r="AZ93" i="5" s="1"/>
  <c r="AY94" i="5"/>
  <c r="AZ94" i="5" s="1"/>
  <c r="AY95" i="5"/>
  <c r="AZ95" i="5" s="1"/>
  <c r="AY96" i="5"/>
  <c r="AZ96" i="5" s="1"/>
  <c r="AY97" i="5"/>
  <c r="AZ97" i="5" s="1"/>
  <c r="AY98" i="5"/>
  <c r="AZ98" i="5" s="1"/>
  <c r="AY99" i="5"/>
  <c r="AZ99" i="5" s="1"/>
  <c r="AY102" i="5"/>
  <c r="AY103" i="5"/>
  <c r="AY104" i="5"/>
  <c r="AZ104" i="5" s="1"/>
  <c r="AY105" i="5"/>
  <c r="AZ105" i="5" s="1"/>
  <c r="AY106" i="5"/>
  <c r="AY54" i="5"/>
  <c r="AY65" i="5"/>
  <c r="AY67" i="5"/>
  <c r="AY69" i="5"/>
  <c r="AY87" i="5"/>
  <c r="AY53" i="5"/>
  <c r="AY52" i="5"/>
  <c r="AY48" i="5"/>
  <c r="AK106" i="5"/>
  <c r="AL106" i="5" s="1"/>
  <c r="AL105" i="5"/>
  <c r="AX45" i="5"/>
  <c r="AY49" i="5"/>
  <c r="AY50" i="5"/>
  <c r="AY51" i="5"/>
  <c r="AZ73" i="5" l="1"/>
  <c r="AZ77" i="5"/>
  <c r="AZ89" i="5"/>
  <c r="AZ107" i="5"/>
  <c r="AZ60" i="5"/>
  <c r="AZ92" i="5"/>
  <c r="AZ61" i="5"/>
  <c r="AZ66" i="5"/>
  <c r="AZ68" i="5"/>
  <c r="AZ86" i="5"/>
  <c r="AZ101" i="5"/>
  <c r="AZ70" i="5"/>
  <c r="AZ83" i="5"/>
  <c r="AZ106" i="5"/>
  <c r="AZ72" i="5"/>
  <c r="AZ85" i="5"/>
  <c r="AZ88" i="5"/>
  <c r="AZ80" i="5"/>
  <c r="AZ84" i="5"/>
  <c r="AZ100" i="5"/>
  <c r="AZ102" i="5"/>
  <c r="AZ79" i="5"/>
  <c r="AZ103" i="5"/>
  <c r="AZ65" i="5"/>
  <c r="AZ67" i="5"/>
  <c r="AZ69" i="5"/>
  <c r="AZ87" i="5"/>
  <c r="K44" i="5"/>
  <c r="K45" i="5" s="1"/>
  <c r="AK44" i="5"/>
  <c r="AL44" i="5" s="1"/>
  <c r="AL45" i="5" s="1"/>
  <c r="BK44" i="5" l="1"/>
  <c r="BK45" i="5" s="1"/>
  <c r="X44" i="5"/>
  <c r="X4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<sst xmlns="http://schemas.openxmlformats.org/spreadsheetml/2006/main" count="459" uniqueCount="142">
  <si>
    <t>FORMULÁRIO DE CADASTRO DE DADOS</t>
  </si>
  <si>
    <t>Informações da obra</t>
  </si>
  <si>
    <t>Controle</t>
  </si>
  <si>
    <t>Cliente</t>
  </si>
  <si>
    <t>VMIX CONCRETO LTDA</t>
  </si>
  <si>
    <t>Obra</t>
  </si>
  <si>
    <t>VMIX CONCRETO</t>
  </si>
  <si>
    <t>Local</t>
  </si>
  <si>
    <t>RONDONÓPOLIS-MT</t>
  </si>
  <si>
    <t>ESTUDO DE DOSAGEM CARTAS BASE SEM PRÉ REQUISITOS ADICIONAIS
USO EM EQUIPAMENTOS DE EXTRUSÃO.</t>
  </si>
  <si>
    <t>Definições dos materiais</t>
  </si>
  <si>
    <t>Caracteristicas dos Cimentos</t>
  </si>
  <si>
    <t>Percentual</t>
  </si>
  <si>
    <t>Cimento Portland</t>
  </si>
  <si>
    <t>Tipo</t>
  </si>
  <si>
    <t>Fabricante</t>
  </si>
  <si>
    <t>Votorantim</t>
  </si>
  <si>
    <t>Origem</t>
  </si>
  <si>
    <t>Material Cimentício Suplementar 01</t>
  </si>
  <si>
    <t>-</t>
  </si>
  <si>
    <t>Material Cimentício Suplementar 02</t>
  </si>
  <si>
    <t>Caracteristicas dos Agregados Miúdos</t>
  </si>
  <si>
    <t>Agregado01</t>
  </si>
  <si>
    <t>Fornecedor</t>
  </si>
  <si>
    <t>Agregado 02</t>
  </si>
  <si>
    <t>Agregado 03</t>
  </si>
  <si>
    <t>Caracteristicas dos Agregados Graúdos</t>
  </si>
  <si>
    <t>Agregado 01</t>
  </si>
  <si>
    <t>Agregado 04</t>
  </si>
  <si>
    <t>Caracteristicas dos Aditivos</t>
  </si>
  <si>
    <t>Dosagem em Massa ?</t>
  </si>
  <si>
    <t>Identificação</t>
  </si>
  <si>
    <t>Teor %  - Sobre Cimento Portland</t>
  </si>
  <si>
    <t>Densidade</t>
  </si>
  <si>
    <t>Caracteristicas das Adições</t>
  </si>
  <si>
    <t>Adição 01</t>
  </si>
  <si>
    <t>Adição 02</t>
  </si>
  <si>
    <t>Adição 03</t>
  </si>
  <si>
    <t>Adição 04</t>
  </si>
  <si>
    <t>Critérios do Estudos de Dosagem</t>
  </si>
  <si>
    <t>Slump:</t>
  </si>
  <si>
    <t>Valor de "m"</t>
  </si>
  <si>
    <t>Traço A</t>
  </si>
  <si>
    <t>Traço B</t>
  </si>
  <si>
    <t>Traço C</t>
  </si>
  <si>
    <t>Traço D</t>
  </si>
  <si>
    <t>Traço E</t>
  </si>
  <si>
    <t>Traço F</t>
  </si>
  <si>
    <t>Traço G</t>
  </si>
  <si>
    <t>Classe de Agressividade</t>
  </si>
  <si>
    <t>Local de Aplicação</t>
  </si>
  <si>
    <t>Tipo de Aplicação</t>
  </si>
  <si>
    <t>Idades</t>
  </si>
  <si>
    <t>Inicial de Agregados Graúdos (kg)</t>
  </si>
  <si>
    <t>Argamassa Inicial (%)</t>
  </si>
  <si>
    <t>Idade Avaliada</t>
  </si>
  <si>
    <t>Tipo de CP Avaliado</t>
  </si>
  <si>
    <t>10x20 Axial</t>
  </si>
  <si>
    <t>Dados da Fase Plástica</t>
  </si>
  <si>
    <t>britas</t>
  </si>
  <si>
    <t>cimento dosagem</t>
  </si>
  <si>
    <t>a/MC</t>
  </si>
  <si>
    <t>ME</t>
  </si>
  <si>
    <t>C Cimentos</t>
  </si>
  <si>
    <t>C Cim Portland</t>
  </si>
  <si>
    <t>α (%)</t>
  </si>
  <si>
    <t>Água (kg)</t>
  </si>
  <si>
    <t>Slump (mm)</t>
  </si>
  <si>
    <t>Peso (kg)</t>
  </si>
  <si>
    <t>EQUIPAMENTOS PARA MASSA ESPECÍFICA</t>
  </si>
  <si>
    <t>Volume (m³)</t>
  </si>
  <si>
    <t>Tara (kg)</t>
  </si>
  <si>
    <t>RESISTÊNCIAS</t>
  </si>
  <si>
    <t>Tipo CP</t>
  </si>
  <si>
    <t>Ponderador</t>
  </si>
  <si>
    <t>Tipos de Ruptura</t>
  </si>
  <si>
    <t>A</t>
  </si>
  <si>
    <t>10x20 Diametral</t>
  </si>
  <si>
    <t>B</t>
  </si>
  <si>
    <t>CP</t>
  </si>
  <si>
    <t>Tipo de CP</t>
  </si>
  <si>
    <t>m</t>
  </si>
  <si>
    <t>Data de Moldagem</t>
  </si>
  <si>
    <t>Idade</t>
  </si>
  <si>
    <t>Data de Ruptura</t>
  </si>
  <si>
    <t>Carga (tonelada)</t>
  </si>
  <si>
    <t>Tipo de Ruptura</t>
  </si>
  <si>
    <t>Fcj (MPa)</t>
  </si>
  <si>
    <t>Índice de Eficiência</t>
  </si>
  <si>
    <t>10x10x40 Flexão</t>
  </si>
  <si>
    <t>C</t>
  </si>
  <si>
    <t>D</t>
  </si>
  <si>
    <t>E</t>
  </si>
  <si>
    <t>F</t>
  </si>
  <si>
    <t>G</t>
  </si>
  <si>
    <t>MD</t>
  </si>
  <si>
    <t>CENTRAL</t>
  </si>
  <si>
    <t>Resistência Desejada (MPa)</t>
  </si>
  <si>
    <t>ID</t>
  </si>
  <si>
    <t>a/c</t>
  </si>
  <si>
    <t>Consumo de Cimento Total</t>
  </si>
  <si>
    <t>Consumo de Cimento Portalnd</t>
  </si>
  <si>
    <t>Resistência Média</t>
  </si>
  <si>
    <t>Índice de Eficiência Média</t>
  </si>
  <si>
    <t>Slump de Ensaio</t>
  </si>
  <si>
    <t>a/c x m</t>
  </si>
  <si>
    <t>m x Consumo</t>
  </si>
  <si>
    <t>Resistência x a/c</t>
  </si>
  <si>
    <t>a/c x Resistência</t>
  </si>
  <si>
    <t>m x Índice de Eficiência</t>
  </si>
  <si>
    <t>m\x^n</t>
  </si>
  <si>
    <t>Equação</t>
  </si>
  <si>
    <t>a/c Desejado</t>
  </si>
  <si>
    <t>m Desejado</t>
  </si>
  <si>
    <t>Resistência Desejada</t>
  </si>
  <si>
    <t>Consumo</t>
  </si>
  <si>
    <t>IRF</t>
  </si>
  <si>
    <t>Validação</t>
  </si>
  <si>
    <t>Resistência</t>
  </si>
  <si>
    <t>IEF</t>
  </si>
  <si>
    <t>Montagem Curva</t>
  </si>
  <si>
    <t>Traço</t>
  </si>
  <si>
    <t>Cimentos - kg</t>
  </si>
  <si>
    <t>Agregados Miúdos - kg</t>
  </si>
  <si>
    <t>Aditivos</t>
  </si>
  <si>
    <t>Adições</t>
  </si>
  <si>
    <t>MCS01</t>
  </si>
  <si>
    <t>MCS02</t>
  </si>
  <si>
    <t>a1</t>
  </si>
  <si>
    <t>a2</t>
  </si>
  <si>
    <t>a3</t>
  </si>
  <si>
    <t>p1</t>
  </si>
  <si>
    <t>p2</t>
  </si>
  <si>
    <t>p3</t>
  </si>
  <si>
    <t>p4</t>
  </si>
  <si>
    <t>CP II F 40</t>
  </si>
  <si>
    <t>Areia Natural do Rio Cuiabá</t>
  </si>
  <si>
    <t>Cuiabá - MT</t>
  </si>
  <si>
    <t>Cuiabá-MT</t>
  </si>
  <si>
    <t>Brita 1</t>
  </si>
  <si>
    <t>Serra de São Vicente</t>
  </si>
  <si>
    <t>Brita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</si>
</sst>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0.00000"/>
    <numFmt numFmtId="167" formatCode="0.000"/>
    <numFmt numFmtId="168" formatCode="0.0000"/>
    <numFmt numFmtId="169" formatCode="0.0000000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0"/>
      <name val="Times New Roman"/>
      <family val="1"/>
    </font>
    <font>
      <sz val="11.5"/>
      <color theme="0"/>
      <name val="Times New Roman"/>
      <family val="1"/>
    </font>
    <font>
      <b/>
      <sz val="26"/>
      <color theme="1"/>
      <name val="Aptos Narrow"/>
      <family val="2"/>
      <scheme val="minor"/>
    </font>
    <font>
      <b/>
      <u/>
      <sz val="20"/>
      <color theme="1"/>
      <name val="Times New Roman"/>
      <family val="1"/>
    </font>
    <font>
      <sz val="14"/>
      <name val="Times New Roman"/>
      <family val="1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sz val="16"/>
      <color theme="1"/>
      <name val="Times New Roman"/>
      <family val="1"/>
    </font>
    <font>
      <sz val="18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vertical="top"/>
    </xf>
    <xf numFmtId="0" fontId="2" fillId="0" borderId="6" xfId="0" applyFont="1" applyBorder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vertical="center"/>
    </xf>
    <xf numFmtId="0" fontId="4" fillId="0" borderId="0" xfId="0" applyFont="1" applyAlignment="1">
      <alignment horizontal="center" wrapText="1"/>
    </xf>
    <xf numFmtId="0" fontId="3" fillId="0" borderId="0" xfId="0" applyFont="1"/>
    <xf numFmtId="0" fontId="3" fillId="0" borderId="6" xfId="0" applyFont="1" applyBorder="1"/>
    <xf numFmtId="0" fontId="4" fillId="0" borderId="12" xfId="0" applyFont="1" applyBorder="1" applyAlignment="1">
      <alignment horizontal="center" wrapText="1"/>
    </xf>
    <xf numFmtId="0" fontId="2" fillId="0" borderId="12" xfId="0" applyFont="1" applyBorder="1"/>
    <xf numFmtId="0" fontId="2" fillId="0" borderId="13" xfId="0" applyFont="1" applyBorder="1"/>
    <xf numFmtId="164" fontId="2" fillId="0" borderId="0" xfId="0" applyNumberFormat="1" applyFont="1" applyAlignment="1">
      <alignment vertical="center"/>
    </xf>
    <xf numFmtId="9" fontId="4" fillId="0" borderId="0" xfId="1" applyFont="1" applyFill="1" applyBorder="1"/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12" fillId="0" borderId="18" xfId="0" applyFont="1" applyBorder="1" applyAlignment="1">
      <alignment vertical="center" wrapText="1"/>
    </xf>
    <xf numFmtId="0" fontId="0" fillId="0" borderId="18" xfId="0" applyBorder="1"/>
    <xf numFmtId="0" fontId="0" fillId="0" borderId="18" xfId="0" applyBorder="1" applyAlignment="1">
      <alignment horizontal="left"/>
    </xf>
    <xf numFmtId="0" fontId="12" fillId="0" borderId="0" xfId="0" applyFont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0" fillId="0" borderId="24" xfId="0" applyBorder="1"/>
    <xf numFmtId="0" fontId="0" fillId="0" borderId="24" xfId="0" applyBorder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29" xfId="0" applyFont="1" applyBorder="1" applyAlignment="1">
      <alignment horizontal="right" vertical="center"/>
    </xf>
    <xf numFmtId="10" fontId="2" fillId="4" borderId="0" xfId="1" applyNumberFormat="1" applyFont="1" applyFill="1" applyBorder="1" applyAlignment="1">
      <alignment horizontal="left" vertical="center"/>
    </xf>
    <xf numFmtId="2" fontId="2" fillId="4" borderId="0" xfId="0" applyNumberFormat="1" applyFont="1" applyFill="1" applyAlignment="1">
      <alignment horizontal="left" vertical="center"/>
    </xf>
    <xf numFmtId="1" fontId="2" fillId="4" borderId="0" xfId="0" applyNumberFormat="1" applyFont="1" applyFill="1" applyAlignment="1">
      <alignment horizontal="left" vertical="center"/>
    </xf>
    <xf numFmtId="2" fontId="2" fillId="4" borderId="30" xfId="0" applyNumberFormat="1" applyFont="1" applyFill="1" applyBorder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2" fillId="0" borderId="0" xfId="1" applyFont="1" applyBorder="1" applyAlignment="1">
      <alignment horizontal="center" vertical="center" wrapText="1"/>
    </xf>
    <xf numFmtId="9" fontId="2" fillId="0" borderId="0" xfId="1" applyFont="1"/>
    <xf numFmtId="9" fontId="0" fillId="0" borderId="0" xfId="1" applyFont="1"/>
    <xf numFmtId="9" fontId="3" fillId="0" borderId="0" xfId="1" applyFont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167" fontId="2" fillId="0" borderId="36" xfId="0" applyNumberFormat="1" applyFont="1" applyBorder="1" applyAlignment="1">
      <alignment horizontal="center" vertical="center"/>
    </xf>
    <xf numFmtId="167" fontId="2" fillId="0" borderId="37" xfId="0" applyNumberFormat="1" applyFont="1" applyBorder="1" applyAlignment="1">
      <alignment horizontal="center" vertical="center"/>
    </xf>
    <xf numFmtId="167" fontId="2" fillId="0" borderId="38" xfId="0" applyNumberFormat="1" applyFont="1" applyBorder="1" applyAlignment="1">
      <alignment horizontal="center" vertical="center"/>
    </xf>
    <xf numFmtId="167" fontId="2" fillId="0" borderId="24" xfId="0" applyNumberFormat="1" applyFont="1" applyBorder="1" applyAlignment="1">
      <alignment horizontal="center" vertical="center"/>
    </xf>
    <xf numFmtId="167" fontId="2" fillId="0" borderId="39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9" fontId="2" fillId="0" borderId="42" xfId="0" applyNumberFormat="1" applyFont="1" applyBorder="1" applyAlignment="1">
      <alignment horizontal="center" vertical="center"/>
    </xf>
    <xf numFmtId="167" fontId="2" fillId="0" borderId="18" xfId="0" applyNumberFormat="1" applyFont="1" applyBorder="1" applyAlignment="1">
      <alignment horizontal="center" vertical="center"/>
    </xf>
    <xf numFmtId="167" fontId="16" fillId="0" borderId="34" xfId="0" applyNumberFormat="1" applyFont="1" applyBorder="1" applyAlignment="1">
      <alignment horizontal="center" vertical="center"/>
    </xf>
    <xf numFmtId="167" fontId="16" fillId="0" borderId="18" xfId="0" applyNumberFormat="1" applyFont="1" applyBorder="1" applyAlignment="1">
      <alignment horizontal="center" vertical="center"/>
    </xf>
    <xf numFmtId="167" fontId="17" fillId="0" borderId="35" xfId="0" applyNumberFormat="1" applyFont="1" applyBorder="1" applyAlignment="1">
      <alignment horizontal="center" vertical="center"/>
    </xf>
    <xf numFmtId="167" fontId="16" fillId="0" borderId="35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9" fillId="0" borderId="0" xfId="0" applyFont="1"/>
    <xf numFmtId="167" fontId="2" fillId="0" borderId="35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1" fontId="3" fillId="5" borderId="5" xfId="0" applyNumberFormat="1" applyFont="1" applyFill="1" applyBorder="1" applyAlignment="1">
      <alignment horizontal="center" vertical="center"/>
    </xf>
    <xf numFmtId="1" fontId="3" fillId="5" borderId="11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8" fontId="3" fillId="5" borderId="2" xfId="0" applyNumberFormat="1" applyFont="1" applyFill="1" applyBorder="1" applyAlignment="1">
      <alignment horizontal="center" vertical="center"/>
    </xf>
    <xf numFmtId="168" fontId="3" fillId="5" borderId="5" xfId="0" applyNumberFormat="1" applyFont="1" applyFill="1" applyBorder="1" applyAlignment="1">
      <alignment horizontal="center" vertical="center"/>
    </xf>
    <xf numFmtId="168" fontId="3" fillId="5" borderId="11" xfId="0" applyNumberFormat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169" fontId="3" fillId="0" borderId="6" xfId="0" applyNumberFormat="1" applyFont="1" applyBorder="1" applyAlignment="1">
      <alignment horizontal="center" vertical="center"/>
    </xf>
    <xf numFmtId="169" fontId="3" fillId="0" borderId="13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9" fontId="4" fillId="0" borderId="0" xfId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5" fontId="2" fillId="4" borderId="1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12" fillId="0" borderId="0" xfId="1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14" fillId="0" borderId="0" xfId="0" applyFont="1" applyAlignment="1">
      <alignment horizontal="center" vertical="center"/>
    </xf>
    <xf numFmtId="9" fontId="2" fillId="0" borderId="0" xfId="1" applyFont="1" applyAlignment="1">
      <alignment horizontal="center" wrapText="1"/>
    </xf>
    <xf numFmtId="0" fontId="12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7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23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4" borderId="2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21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25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3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4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2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3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3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4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1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3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6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3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3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4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5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2" fontId="10" fillId="0" borderId="18" xfId="0" applyNumberFormat="1" applyFont="1" applyBorder="1" applyAlignment="1">
      <alignment horizontal="center" vertical="center" wrapText="1"/>
    </xf>
    <xf numFmtId="2" fontId="10" fillId="0" borderId="35" xfId="0" applyNumberFormat="1" applyFont="1" applyBorder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2" fontId="10" fillId="0" borderId="37" xfId="0" applyNumberFormat="1" applyFont="1" applyBorder="1" applyAlignment="1">
      <alignment horizontal="center" vertical="center" wrapText="1"/>
    </xf>
    <xf numFmtId="2" fontId="10" fillId="0" borderId="24" xfId="0" applyNumberFormat="1" applyFont="1" applyBorder="1" applyAlignment="1">
      <alignment horizontal="center" vertical="center" wrapText="1"/>
    </xf>
    <xf numFmtId="2" fontId="10" fillId="0" borderId="39" xfId="0" applyNumberFormat="1" applyFont="1" applyBorder="1" applyAlignment="1">
      <alignment horizontal="center" vertical="center" wrapText="1"/>
    </xf>
    <xf numFmtId="9" fontId="10" fillId="0" borderId="18" xfId="1" applyFont="1" applyBorder="1" applyAlignment="1">
      <alignment horizontal="center" vertical="center" wrapText="1"/>
    </xf>
    <xf numFmtId="9" fontId="10" fillId="0" borderId="35" xfId="1" applyFont="1" applyBorder="1" applyAlignment="1">
      <alignment horizontal="center" vertical="center" wrapText="1"/>
    </xf>
    <xf numFmtId="9" fontId="10" fillId="0" borderId="0" xfId="1" applyFont="1" applyBorder="1" applyAlignment="1">
      <alignment horizontal="center" vertical="center" wrapText="1"/>
    </xf>
    <xf numFmtId="9" fontId="10" fillId="0" borderId="37" xfId="1" applyFont="1" applyBorder="1" applyAlignment="1">
      <alignment horizontal="center" vertical="center" wrapText="1"/>
    </xf>
    <xf numFmtId="9" fontId="10" fillId="0" borderId="24" xfId="1" applyFont="1" applyBorder="1" applyAlignment="1">
      <alignment horizontal="center" vertical="center" wrapText="1"/>
    </xf>
    <xf numFmtId="9" fontId="10" fillId="0" borderId="39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1" xfId="0" applyFont="1" applyBorder="1" applyAlignment="1">
      <alignment horizontal="right" vertical="center"/>
    </xf>
    <xf numFmtId="0" fontId="2" fillId="0" borderId="32" xfId="0" applyFont="1" applyBorder="1" applyAlignment="1">
      <alignment horizontal="right" vertical="center"/>
    </xf>
    <xf numFmtId="166" fontId="2" fillId="4" borderId="32" xfId="0" applyNumberFormat="1" applyFont="1" applyFill="1" applyBorder="1" applyAlignment="1">
      <alignment horizontal="left" vertical="center"/>
    </xf>
    <xf numFmtId="166" fontId="2" fillId="4" borderId="33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9" fontId="2" fillId="0" borderId="40" xfId="0" applyNumberFormat="1" applyFont="1" applyBorder="1" applyAlignment="1">
      <alignment horizontal="center" vertical="center"/>
    </xf>
    <xf numFmtId="9" fontId="2" fillId="0" borderId="41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49"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6"/>
        </patternFill>
      </fill>
    </dxf>
    <dxf>
      <font>
        <color theme="1"/>
      </font>
      <fill>
        <patternFill>
          <bgColor rgb="FFC00000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0"/>
      </font>
      <fill>
        <patternFill>
          <bgColor theme="6"/>
        </patternFill>
      </fill>
    </dxf>
    <dxf>
      <font>
        <color theme="1"/>
      </font>
      <fill>
        <patternFill>
          <bgColor rgb="FFC00000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0"/>
      </font>
      <fill>
        <patternFill>
          <bgColor theme="6"/>
        </patternFill>
      </fill>
    </dxf>
    <dxf>
      <font>
        <color theme="1"/>
      </font>
      <fill>
        <patternFill>
          <bgColor rgb="FFC00000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0"/>
      </font>
      <fill>
        <patternFill>
          <bgColor theme="6"/>
        </patternFill>
      </fill>
    </dxf>
    <dxf>
      <font>
        <color theme="1"/>
      </font>
      <fill>
        <patternFill>
          <bgColor rgb="FFC00000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0"/>
      </font>
      <fill>
        <patternFill>
          <bgColor theme="6"/>
        </patternFill>
      </fill>
    </dxf>
    <dxf>
      <font>
        <color theme="1"/>
      </font>
      <fill>
        <patternFill>
          <bgColor rgb="FFC00000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0"/>
      </font>
      <fill>
        <patternFill>
          <bgColor theme="6"/>
        </patternFill>
      </fill>
    </dxf>
    <dxf>
      <font>
        <color theme="1"/>
      </font>
      <fill>
        <patternFill>
          <bgColor rgb="FFC00000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0"/>
      </font>
      <fill>
        <patternFill>
          <bgColor theme="6"/>
        </patternFill>
      </fill>
    </dxf>
    <dxf>
      <font>
        <color theme="1"/>
      </font>
      <fill>
        <patternFill>
          <bgColor rgb="FFC0000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6"/>
        </patternFill>
      </fill>
    </dxf>
    <dxf>
      <font>
        <color theme="1"/>
      </font>
      <fill>
        <patternFill>
          <bgColor rgb="FFC000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  <border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6795556505021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border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border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border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border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border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border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border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Relação a/c e "m"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'Compilado de Dados'!$K$56:$L$56</c:f>
              <c:strCache>
                <c:ptCount val="1"/>
                <c:pt idx="0">
                  <c:v>Montagem Curva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5875" cap="rnd" cmpd="sng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1"/>
            <c:backward val="0.1"/>
            <c:dispRSqr val="1"/>
            <c:dispEq val="0"/>
            <c:trendlineLbl>
              <c:layout>
                <c:manualLayout>
                  <c:x val="-0.5307579252317467"/>
                  <c:y val="2.99625468164794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'Compilado de Dados'!$K$57:$K$107</c:f>
              <c:numCache>
                <c:formatCode>General</c:formatCode>
                <c:ptCount val="51"/>
                <c:pt idx="0">
                  <c:v>0.34104000000000001</c:v>
                </c:pt>
                <c:pt idx="1">
                  <c:v>0.3517612</c:v>
                </c:pt>
                <c:pt idx="2">
                  <c:v>0.36248239999999998</c:v>
                </c:pt>
                <c:pt idx="3">
                  <c:v>0.37320359999999997</c:v>
                </c:pt>
                <c:pt idx="4">
                  <c:v>0.38392479999999995</c:v>
                </c:pt>
                <c:pt idx="5">
                  <c:v>0.39464599999999994</c:v>
                </c:pt>
                <c:pt idx="6">
                  <c:v>0.40536719999999993</c:v>
                </c:pt>
                <c:pt idx="7">
                  <c:v>0.41608839999999991</c:v>
                </c:pt>
                <c:pt idx="8">
                  <c:v>0.4268095999999999</c:v>
                </c:pt>
                <c:pt idx="9">
                  <c:v>0.43753079999999989</c:v>
                </c:pt>
                <c:pt idx="10">
                  <c:v>0.44825199999999987</c:v>
                </c:pt>
                <c:pt idx="11">
                  <c:v>0.45897319999999986</c:v>
                </c:pt>
                <c:pt idx="12">
                  <c:v>0.46969439999999985</c:v>
                </c:pt>
                <c:pt idx="13">
                  <c:v>0.48041559999999983</c:v>
                </c:pt>
                <c:pt idx="14">
                  <c:v>0.49113679999999982</c:v>
                </c:pt>
                <c:pt idx="15">
                  <c:v>0.5018579999999998</c:v>
                </c:pt>
                <c:pt idx="16">
                  <c:v>0.51257919999999979</c:v>
                </c:pt>
                <c:pt idx="17">
                  <c:v>0.52330039999999978</c:v>
                </c:pt>
                <c:pt idx="18">
                  <c:v>0.53402159999999976</c:v>
                </c:pt>
                <c:pt idx="19">
                  <c:v>0.54474279999999975</c:v>
                </c:pt>
                <c:pt idx="20">
                  <c:v>0.55546399999999974</c:v>
                </c:pt>
                <c:pt idx="21">
                  <c:v>0.56618519999999972</c:v>
                </c:pt>
                <c:pt idx="22">
                  <c:v>0.57690639999999971</c:v>
                </c:pt>
                <c:pt idx="23">
                  <c:v>0.58762759999999969</c:v>
                </c:pt>
                <c:pt idx="24">
                  <c:v>0.59834879999999968</c:v>
                </c:pt>
                <c:pt idx="25">
                  <c:v>0.60906999999999967</c:v>
                </c:pt>
                <c:pt idx="26">
                  <c:v>0.61979119999999965</c:v>
                </c:pt>
                <c:pt idx="27">
                  <c:v>0.63051239999999964</c:v>
                </c:pt>
                <c:pt idx="28">
                  <c:v>0.64123359999999963</c:v>
                </c:pt>
                <c:pt idx="29">
                  <c:v>0.65195479999999961</c:v>
                </c:pt>
                <c:pt idx="30">
                  <c:v>0.6626759999999996</c:v>
                </c:pt>
                <c:pt idx="31">
                  <c:v>0.67339719999999958</c:v>
                </c:pt>
                <c:pt idx="32">
                  <c:v>0.68411839999999957</c:v>
                </c:pt>
                <c:pt idx="33">
                  <c:v>0.69483959999999956</c:v>
                </c:pt>
                <c:pt idx="34">
                  <c:v>0.70556079999999954</c:v>
                </c:pt>
                <c:pt idx="35">
                  <c:v>0.71628199999999953</c:v>
                </c:pt>
                <c:pt idx="36">
                  <c:v>0.72700319999999952</c:v>
                </c:pt>
                <c:pt idx="37">
                  <c:v>0.7377243999999995</c:v>
                </c:pt>
                <c:pt idx="38">
                  <c:v>0.74844559999999949</c:v>
                </c:pt>
                <c:pt idx="39">
                  <c:v>0.75916679999999948</c:v>
                </c:pt>
                <c:pt idx="40">
                  <c:v>0.76988799999999946</c:v>
                </c:pt>
                <c:pt idx="41">
                  <c:v>0.78060919999999945</c:v>
                </c:pt>
                <c:pt idx="42">
                  <c:v>0.79133039999999943</c:v>
                </c:pt>
                <c:pt idx="43">
                  <c:v>0.80205159999999942</c:v>
                </c:pt>
                <c:pt idx="44">
                  <c:v>0.81277279999999941</c:v>
                </c:pt>
                <c:pt idx="45">
                  <c:v>0.82349399999999939</c:v>
                </c:pt>
                <c:pt idx="46">
                  <c:v>0.83421519999999938</c:v>
                </c:pt>
                <c:pt idx="47">
                  <c:v>0.84493639999999937</c:v>
                </c:pt>
                <c:pt idx="48">
                  <c:v>0.85565759999999935</c:v>
                </c:pt>
                <c:pt idx="49">
                  <c:v>0.86637879999999934</c:v>
                </c:pt>
                <c:pt idx="50">
                  <c:v>0.87709999999999999</c:v>
                </c:pt>
              </c:numCache>
            </c:numRef>
          </c:xVal>
          <c:yVal>
            <c:numRef>
              <c:f>'Compilado de Dados'!$L$57:$L$107</c:f>
              <c:numCache>
                <c:formatCode>General</c:formatCode>
                <c:ptCount val="51"/>
                <c:pt idx="0">
                  <c:v>2.9999999999766089</c:v>
                </c:pt>
                <c:pt idx="1">
                  <c:v>3.0403787227052419</c:v>
                </c:pt>
                <c:pt idx="2">
                  <c:v>3.1198943359001134</c:v>
                </c:pt>
                <c:pt idx="3">
                  <c:v>3.2288048145726691</c:v>
                </c:pt>
                <c:pt idx="4">
                  <c:v>3.3588816912967161</c:v>
                </c:pt>
                <c:pt idx="5">
                  <c:v>3.5032695960273088</c:v>
                </c:pt>
                <c:pt idx="6">
                  <c:v>3.6563518378873425</c:v>
                </c:pt>
                <c:pt idx="7">
                  <c:v>3.8136220289309506</c:v>
                </c:pt>
                <c:pt idx="8">
                  <c:v>3.9715617498777931</c:v>
                </c:pt>
                <c:pt idx="9">
                  <c:v>4.1275242578185782</c:v>
                </c:pt>
                <c:pt idx="10">
                  <c:v>4.2796242358977281</c:v>
                </c:pt>
                <c:pt idx="11">
                  <c:v>4.4266335849622749</c:v>
                </c:pt>
                <c:pt idx="12">
                  <c:v>4.567883257188015</c:v>
                </c:pt>
                <c:pt idx="13">
                  <c:v>4.7031711316790563</c:v>
                </c:pt>
                <c:pt idx="14">
                  <c:v>4.8326759320337089</c:v>
                </c:pt>
                <c:pt idx="15">
                  <c:v>4.9568771858908178</c:v>
                </c:pt>
                <c:pt idx="16">
                  <c:v>5.0764812264433488</c:v>
                </c:pt>
                <c:pt idx="17">
                  <c:v>5.1923532359267313</c:v>
                </c:pt>
                <c:pt idx="18">
                  <c:v>5.3054553310801396</c:v>
                </c:pt>
                <c:pt idx="19">
                  <c:v>5.4167906905791199</c:v>
                </c:pt>
                <c:pt idx="20">
                  <c:v>5.5273537244404736</c:v>
                </c:pt>
                <c:pt idx="21">
                  <c:v>5.638086285401215</c:v>
                </c:pt>
                <c:pt idx="22">
                  <c:v>5.7498399222727414</c:v>
                </c:pt>
                <c:pt idx="23">
                  <c:v>5.8633441752588453</c:v>
                </c:pt>
                <c:pt idx="24">
                  <c:v>5.9791809132571245</c:v>
                </c:pt>
                <c:pt idx="25">
                  <c:v>6.0977647131246897</c:v>
                </c:pt>
                <c:pt idx="26">
                  <c:v>6.2193292809204479</c:v>
                </c:pt>
                <c:pt idx="27">
                  <c:v>6.343919915122143</c:v>
                </c:pt>
                <c:pt idx="28">
                  <c:v>6.4713920118063299</c:v>
                </c:pt>
                <c:pt idx="29">
                  <c:v>6.6014156118169751</c:v>
                </c:pt>
                <c:pt idx="30">
                  <c:v>6.7334859898928983</c:v>
                </c:pt>
                <c:pt idx="31">
                  <c:v>6.8669402857656507</c:v>
                </c:pt>
                <c:pt idx="32">
                  <c:v>7.0009801772487492</c:v>
                </c:pt>
                <c:pt idx="33">
                  <c:v>7.1347005952825668</c:v>
                </c:pt>
                <c:pt idx="34">
                  <c:v>7.2671244809569373</c:v>
                </c:pt>
                <c:pt idx="35">
                  <c:v>7.3972435844989661</c:v>
                </c:pt>
                <c:pt idx="36">
                  <c:v>7.5240653062583362</c:v>
                </c:pt>
                <c:pt idx="37">
                  <c:v>7.6466655796287171</c:v>
                </c:pt>
                <c:pt idx="38">
                  <c:v>7.7642477959721248</c:v>
                </c:pt>
                <c:pt idx="39">
                  <c:v>7.8762077715032603</c:v>
                </c:pt>
                <c:pt idx="40">
                  <c:v>7.9822047561436023</c:v>
                </c:pt>
                <c:pt idx="41">
                  <c:v>8.08223848435685</c:v>
                </c:pt>
                <c:pt idx="42">
                  <c:v>8.1767322679509391</c:v>
                </c:pt>
                <c:pt idx="43">
                  <c:v>8.2666221308484467</c:v>
                </c:pt>
                <c:pt idx="44">
                  <c:v>8.3534519858408487</c:v>
                </c:pt>
                <c:pt idx="45">
                  <c:v>8.4394748533229915</c:v>
                </c:pt>
                <c:pt idx="46">
                  <c:v>8.5277601219575274</c:v>
                </c:pt>
                <c:pt idx="47">
                  <c:v>8.6223068513573082</c:v>
                </c:pt>
                <c:pt idx="48">
                  <c:v>8.7281631167473108</c:v>
                </c:pt>
                <c:pt idx="49">
                  <c:v>8.851551395523785</c:v>
                </c:pt>
                <c:pt idx="50">
                  <c:v>8.999999995888885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16-497D-99FF-FBA70DBD8AD3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40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'Compilado de Dados'!$K$44</c:f>
              <c:numCache>
                <c:formatCode>General</c:formatCode>
                <c:ptCount val="1"/>
                <c:pt idx="0">
                  <c:v>0.8107646527934953</c:v>
                </c:pt>
              </c:numCache>
            </c:numRef>
          </c:xVal>
          <c:yVal>
            <c:numRef>
              <c:f>'Compilado de Dados'!$K$45</c:f>
              <c:numCache>
                <c:formatCode>General</c:formatCode>
                <c:ptCount val="1"/>
                <c:pt idx="0">
                  <c:v>8.3373279898246722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516-497D-99FF-FBA70DBD8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223055"/>
        <c:axId val="1368221615"/>
      </c:scatterChart>
      <c:valAx>
        <c:axId val="1368223055"/>
        <c:scaling>
          <c:orientation val="minMax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8221615"/>
        <c:crosses val="autoZero"/>
        <c:crossBetween val="midCat"/>
      </c:valAx>
      <c:valAx>
        <c:axId val="1368221615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8223055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poly"/>
            <c:order val="2"/>
            <c:forward val="1"/>
            <c:backward val="1"/>
            <c:dispRSqr val="1"/>
            <c:dispEq val="0"/>
            <c:trendlineLbl>
              <c:layout>
                <c:manualLayout>
                  <c:x val="-0.19494721327630007"/>
                  <c:y val="-0.550721146249113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'Compilado de Dados'!$X$57:$X$107</c:f>
              <c:numCache>
                <c:formatCode>General</c:formatCode>
                <c:ptCount val="51"/>
                <c:pt idx="0">
                  <c:v>3</c:v>
                </c:pt>
                <c:pt idx="1">
                  <c:v>3.12</c:v>
                </c:pt>
                <c:pt idx="2">
                  <c:v>3.24</c:v>
                </c:pt>
                <c:pt idx="3">
                  <c:v>3.3600000000000003</c:v>
                </c:pt>
                <c:pt idx="4">
                  <c:v>3.4800000000000004</c:v>
                </c:pt>
                <c:pt idx="5">
                  <c:v>3.6000000000000005</c:v>
                </c:pt>
                <c:pt idx="6">
                  <c:v>3.7200000000000006</c:v>
                </c:pt>
                <c:pt idx="7">
                  <c:v>3.8400000000000007</c:v>
                </c:pt>
                <c:pt idx="8">
                  <c:v>3.9600000000000009</c:v>
                </c:pt>
                <c:pt idx="9">
                  <c:v>4.080000000000001</c:v>
                </c:pt>
                <c:pt idx="10">
                  <c:v>4.2000000000000011</c:v>
                </c:pt>
                <c:pt idx="11">
                  <c:v>4.3200000000000012</c:v>
                </c:pt>
                <c:pt idx="12">
                  <c:v>4.4400000000000013</c:v>
                </c:pt>
                <c:pt idx="13">
                  <c:v>4.5600000000000014</c:v>
                </c:pt>
                <c:pt idx="14">
                  <c:v>4.6800000000000015</c:v>
                </c:pt>
                <c:pt idx="15">
                  <c:v>4.8000000000000016</c:v>
                </c:pt>
                <c:pt idx="16">
                  <c:v>4.9200000000000017</c:v>
                </c:pt>
                <c:pt idx="17">
                  <c:v>5.0400000000000018</c:v>
                </c:pt>
                <c:pt idx="18">
                  <c:v>5.1600000000000019</c:v>
                </c:pt>
                <c:pt idx="19">
                  <c:v>5.280000000000002</c:v>
                </c:pt>
                <c:pt idx="20">
                  <c:v>5.4000000000000021</c:v>
                </c:pt>
                <c:pt idx="21">
                  <c:v>5.5200000000000022</c:v>
                </c:pt>
                <c:pt idx="22">
                  <c:v>5.6400000000000023</c:v>
                </c:pt>
                <c:pt idx="23">
                  <c:v>5.7600000000000025</c:v>
                </c:pt>
                <c:pt idx="24">
                  <c:v>5.8800000000000026</c:v>
                </c:pt>
                <c:pt idx="25">
                  <c:v>6.0000000000000027</c:v>
                </c:pt>
                <c:pt idx="26">
                  <c:v>6.1200000000000028</c:v>
                </c:pt>
                <c:pt idx="27">
                  <c:v>6.2400000000000029</c:v>
                </c:pt>
                <c:pt idx="28">
                  <c:v>6.360000000000003</c:v>
                </c:pt>
                <c:pt idx="29">
                  <c:v>6.4800000000000031</c:v>
                </c:pt>
                <c:pt idx="30">
                  <c:v>6.6000000000000032</c:v>
                </c:pt>
                <c:pt idx="31">
                  <c:v>6.7200000000000033</c:v>
                </c:pt>
                <c:pt idx="32">
                  <c:v>6.8400000000000034</c:v>
                </c:pt>
                <c:pt idx="33">
                  <c:v>6.9600000000000035</c:v>
                </c:pt>
                <c:pt idx="34">
                  <c:v>7.0800000000000036</c:v>
                </c:pt>
                <c:pt idx="35">
                  <c:v>7.2000000000000037</c:v>
                </c:pt>
                <c:pt idx="36">
                  <c:v>7.3200000000000038</c:v>
                </c:pt>
                <c:pt idx="37">
                  <c:v>7.4400000000000039</c:v>
                </c:pt>
                <c:pt idx="38">
                  <c:v>7.5600000000000041</c:v>
                </c:pt>
                <c:pt idx="39">
                  <c:v>7.6800000000000042</c:v>
                </c:pt>
                <c:pt idx="40">
                  <c:v>7.8000000000000043</c:v>
                </c:pt>
                <c:pt idx="41">
                  <c:v>7.9200000000000044</c:v>
                </c:pt>
                <c:pt idx="42">
                  <c:v>8.0400000000000045</c:v>
                </c:pt>
                <c:pt idx="43">
                  <c:v>8.1600000000000037</c:v>
                </c:pt>
                <c:pt idx="44">
                  <c:v>8.2800000000000029</c:v>
                </c:pt>
                <c:pt idx="45">
                  <c:v>8.4000000000000021</c:v>
                </c:pt>
                <c:pt idx="46">
                  <c:v>8.5200000000000014</c:v>
                </c:pt>
                <c:pt idx="47">
                  <c:v>8.64</c:v>
                </c:pt>
                <c:pt idx="48">
                  <c:v>8.76</c:v>
                </c:pt>
                <c:pt idx="49">
                  <c:v>8.879999999999999</c:v>
                </c:pt>
                <c:pt idx="50">
                  <c:v>9</c:v>
                </c:pt>
              </c:numCache>
            </c:numRef>
          </c:xVal>
          <c:yVal>
            <c:numRef>
              <c:f>'Compilado de Dados'!$Y$57:$Y$107</c:f>
              <c:numCache>
                <c:formatCode>General</c:formatCode>
                <c:ptCount val="51"/>
                <c:pt idx="0">
                  <c:v>566.77140926858192</c:v>
                </c:pt>
                <c:pt idx="1">
                  <c:v>549.88460718330998</c:v>
                </c:pt>
                <c:pt idx="2">
                  <c:v>534.0876482677495</c:v>
                </c:pt>
                <c:pt idx="3">
                  <c:v>519.27124653329611</c:v>
                </c:pt>
                <c:pt idx="4">
                  <c:v>505.33746908094872</c:v>
                </c:pt>
                <c:pt idx="5">
                  <c:v>492.1988702154963</c:v>
                </c:pt>
                <c:pt idx="6">
                  <c:v>479.77765895671564</c:v>
                </c:pt>
                <c:pt idx="7">
                  <c:v>468.00489994756208</c:v>
                </c:pt>
                <c:pt idx="8">
                  <c:v>456.81974775937942</c:v>
                </c:pt>
                <c:pt idx="9">
                  <c:v>446.16871459409958</c:v>
                </c:pt>
                <c:pt idx="10">
                  <c:v>436.00497138346509</c:v>
                </c:pt>
                <c:pt idx="11">
                  <c:v>426.28768228524677</c:v>
                </c:pt>
                <c:pt idx="12">
                  <c:v>416.98137257646431</c:v>
                </c:pt>
                <c:pt idx="13">
                  <c:v>408.0553299436242</c:v>
                </c:pt>
                <c:pt idx="14">
                  <c:v>399.48303916994701</c:v>
                </c:pt>
                <c:pt idx="15">
                  <c:v>391.24165021961744</c:v>
                </c:pt>
                <c:pt idx="16">
                  <c:v>383.31147971902374</c:v>
                </c:pt>
                <c:pt idx="17">
                  <c:v>375.67554583501988</c:v>
                </c:pt>
                <c:pt idx="18">
                  <c:v>368.31913655017252</c:v>
                </c:pt>
                <c:pt idx="19">
                  <c:v>361.22941133503718</c:v>
                </c:pt>
                <c:pt idx="20">
                  <c:v>354.39503621741096</c:v>
                </c:pt>
                <c:pt idx="21">
                  <c:v>347.80585224861898</c:v>
                </c:pt>
                <c:pt idx="22">
                  <c:v>341.45257736680105</c:v>
                </c:pt>
                <c:pt idx="23">
                  <c:v>335.32654165717304</c:v>
                </c:pt>
                <c:pt idx="24">
                  <c:v>329.4194560093465</c:v>
                </c:pt>
                <c:pt idx="25">
                  <c:v>323.72321417159947</c:v>
                </c:pt>
                <c:pt idx="26">
                  <c:v>318.22972820220366</c:v>
                </c:pt>
                <c:pt idx="27">
                  <c:v>312.93079731770376</c:v>
                </c:pt>
                <c:pt idx="28">
                  <c:v>307.81801013825861</c:v>
                </c:pt>
                <c:pt idx="29">
                  <c:v>302.8826803299462</c:v>
                </c:pt>
                <c:pt idx="30">
                  <c:v>298.11581564408152</c:v>
                </c:pt>
                <c:pt idx="31">
                  <c:v>293.50812035354193</c:v>
                </c:pt>
                <c:pt idx="32">
                  <c:v>289.0500310861471</c:v>
                </c:pt>
                <c:pt idx="33">
                  <c:v>284.73178605493194</c:v>
                </c:pt>
                <c:pt idx="34">
                  <c:v>280.54352768556237</c:v>
                </c:pt>
                <c:pt idx="35">
                  <c:v>276.4754386405948</c:v>
                </c:pt>
                <c:pt idx="36">
                  <c:v>272.51791124094052</c:v>
                </c:pt>
                <c:pt idx="37">
                  <c:v>268.66175028415637</c:v>
                </c:pt>
                <c:pt idx="38">
                  <c:v>264.89840925982935</c:v>
                </c:pt>
                <c:pt idx="39">
                  <c:v>261.2202599619759</c:v>
                </c:pt>
                <c:pt idx="40">
                  <c:v>257.62089549836492</c:v>
                </c:pt>
                <c:pt idx="41">
                  <c:v>254.09546669696283</c:v>
                </c:pt>
                <c:pt idx="42">
                  <c:v>250.64105190928967</c:v>
                </c:pt>
                <c:pt idx="43">
                  <c:v>247.25706021080623</c:v>
                </c:pt>
                <c:pt idx="44">
                  <c:v>243.94566799838867</c:v>
                </c:pt>
                <c:pt idx="45">
                  <c:v>240.71228898457593</c:v>
                </c:pt>
                <c:pt idx="46">
                  <c:v>237.5660775891829</c:v>
                </c:pt>
                <c:pt idx="47">
                  <c:v>234.5204657275408</c:v>
                </c:pt>
                <c:pt idx="48">
                  <c:v>231.59373299605977</c:v>
                </c:pt>
                <c:pt idx="49">
                  <c:v>228.80961025455872</c:v>
                </c:pt>
                <c:pt idx="50">
                  <c:v>226.19791660574265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043-44C1-918A-0635C0FFB77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4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'Compilado de Dados'!$X$44</c:f>
              <c:numCache>
                <c:formatCode>General</c:formatCode>
                <c:ptCount val="1"/>
                <c:pt idx="0">
                  <c:v>8.3373279898246722</c:v>
                </c:pt>
              </c:numCache>
            </c:numRef>
          </c:xVal>
          <c:yVal>
            <c:numRef>
              <c:f>'Compilado de Dados'!$X$45</c:f>
              <c:numCache>
                <c:formatCode>General</c:formatCode>
                <c:ptCount val="1"/>
                <c:pt idx="0">
                  <c:v>242.39077402594557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43-44C1-918A-0635C0FFB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165391"/>
        <c:axId val="1894171151"/>
      </c:scatterChart>
      <c:valAx>
        <c:axId val="1894165391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171151"/>
        <c:crosses val="autoZero"/>
        <c:crossBetween val="midCat"/>
      </c:valAx>
      <c:valAx>
        <c:axId val="1894171151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16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3"/>
          <c:order val="3"/>
          <c:spPr>
            <a:solidFill>
              <a:schemeClr val="accent4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'Compilado de Dados'!$AK$44</c:f>
              <c:numCache>
                <c:formatCode>General</c:formatCode>
                <c:ptCount val="1"/>
                <c:pt idx="0">
                  <c:v>0.8107646527934953</c:v>
                </c:pt>
              </c:numCache>
            </c:numRef>
          </c:cat>
          <c:val>
            <c:numRef>
              <c:f>'Compilado de Dados'!$AL$45</c:f>
              <c:numCache>
                <c:formatCode>0.00%</c:formatCode>
                <c:ptCount val="1"/>
                <c:pt idx="0">
                  <c:v>0.17464326195777174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BC2-49DC-BDA7-7B911CCCB7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64629184"/>
        <c:axId val="964628224"/>
      </c:barChart>
      <c:scatterChart>
        <c:scatterStyle val="lineMarker"/>
        <c:varyColors val="0"/>
        <c:ser>
          <c:idx val="0"/>
          <c:order val="0"/>
          <c:tx>
            <c:strRef>
              <c:f>'Compilado de Dados'!$AK$56:$AL$56</c:f>
              <c:strCache>
                <c:ptCount val="1"/>
                <c:pt idx="0">
                  <c:v>Montagem Curva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5875" cap="rnd">
                <a:solidFill>
                  <a:schemeClr val="tx1"/>
                </a:solidFill>
                <a:prstDash val="solid"/>
              </a:ln>
              <a:effectLst/>
            </c:spPr>
            <c:trendlineType val="exp"/>
            <c:forward val="5.000000000000001E-2"/>
            <c:backward val="5.000000000000001E-2"/>
            <c:dispRSqr val="1"/>
            <c:dispEq val="0"/>
            <c:trendlineLbl>
              <c:layout>
                <c:manualLayout>
                  <c:x val="-0.45451430555555555"/>
                  <c:y val="-0.627231666666666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'Compilado de Dados'!$AK$57:$AK$107</c:f>
              <c:numCache>
                <c:formatCode>General</c:formatCode>
                <c:ptCount val="51"/>
                <c:pt idx="0">
                  <c:v>0.34104000000000001</c:v>
                </c:pt>
                <c:pt idx="1">
                  <c:v>0.3517612</c:v>
                </c:pt>
                <c:pt idx="2">
                  <c:v>0.36248239999999998</c:v>
                </c:pt>
                <c:pt idx="3">
                  <c:v>0.37320359999999997</c:v>
                </c:pt>
                <c:pt idx="4">
                  <c:v>0.38392479999999995</c:v>
                </c:pt>
                <c:pt idx="5">
                  <c:v>0.39464599999999994</c:v>
                </c:pt>
                <c:pt idx="6">
                  <c:v>0.40536719999999993</c:v>
                </c:pt>
                <c:pt idx="7">
                  <c:v>0.41608839999999991</c:v>
                </c:pt>
                <c:pt idx="8">
                  <c:v>0.4268095999999999</c:v>
                </c:pt>
                <c:pt idx="9">
                  <c:v>0.43753079999999989</c:v>
                </c:pt>
                <c:pt idx="10">
                  <c:v>0.44825199999999987</c:v>
                </c:pt>
                <c:pt idx="11">
                  <c:v>0.45897319999999986</c:v>
                </c:pt>
                <c:pt idx="12">
                  <c:v>0.46969439999999985</c:v>
                </c:pt>
                <c:pt idx="13">
                  <c:v>0.48041559999999983</c:v>
                </c:pt>
                <c:pt idx="14">
                  <c:v>0.49113679999999982</c:v>
                </c:pt>
                <c:pt idx="15">
                  <c:v>0.5018579999999998</c:v>
                </c:pt>
                <c:pt idx="16">
                  <c:v>0.51257919999999979</c:v>
                </c:pt>
                <c:pt idx="17">
                  <c:v>0.52330039999999978</c:v>
                </c:pt>
                <c:pt idx="18">
                  <c:v>0.53402159999999976</c:v>
                </c:pt>
                <c:pt idx="19">
                  <c:v>0.54474279999999975</c:v>
                </c:pt>
                <c:pt idx="20">
                  <c:v>0.55546399999999974</c:v>
                </c:pt>
                <c:pt idx="21">
                  <c:v>0.56618519999999972</c:v>
                </c:pt>
                <c:pt idx="22">
                  <c:v>0.57690639999999971</c:v>
                </c:pt>
                <c:pt idx="23">
                  <c:v>0.58762759999999969</c:v>
                </c:pt>
                <c:pt idx="24">
                  <c:v>0.59834879999999968</c:v>
                </c:pt>
                <c:pt idx="25">
                  <c:v>0.60906999999999967</c:v>
                </c:pt>
                <c:pt idx="26">
                  <c:v>0.61979119999999965</c:v>
                </c:pt>
                <c:pt idx="27">
                  <c:v>0.63051239999999964</c:v>
                </c:pt>
                <c:pt idx="28">
                  <c:v>0.64123359999999963</c:v>
                </c:pt>
                <c:pt idx="29">
                  <c:v>0.65195479999999961</c:v>
                </c:pt>
                <c:pt idx="30">
                  <c:v>0.6626759999999996</c:v>
                </c:pt>
                <c:pt idx="31">
                  <c:v>0.67339719999999958</c:v>
                </c:pt>
                <c:pt idx="32">
                  <c:v>0.68411839999999957</c:v>
                </c:pt>
                <c:pt idx="33">
                  <c:v>0.69483959999999956</c:v>
                </c:pt>
                <c:pt idx="34">
                  <c:v>0.70556079999999954</c:v>
                </c:pt>
                <c:pt idx="35">
                  <c:v>0.71628199999999953</c:v>
                </c:pt>
                <c:pt idx="36">
                  <c:v>0.72700319999999952</c:v>
                </c:pt>
                <c:pt idx="37">
                  <c:v>0.7377243999999995</c:v>
                </c:pt>
                <c:pt idx="38">
                  <c:v>0.74844559999999949</c:v>
                </c:pt>
                <c:pt idx="39">
                  <c:v>0.75916679999999948</c:v>
                </c:pt>
                <c:pt idx="40">
                  <c:v>0.76988799999999946</c:v>
                </c:pt>
                <c:pt idx="41">
                  <c:v>0.78060919999999945</c:v>
                </c:pt>
                <c:pt idx="42">
                  <c:v>0.79133039999999943</c:v>
                </c:pt>
                <c:pt idx="43">
                  <c:v>0.80205159999999942</c:v>
                </c:pt>
                <c:pt idx="44">
                  <c:v>0.81277279999999941</c:v>
                </c:pt>
                <c:pt idx="45">
                  <c:v>0.82349399999999939</c:v>
                </c:pt>
                <c:pt idx="46">
                  <c:v>0.83421519999999938</c:v>
                </c:pt>
                <c:pt idx="47">
                  <c:v>0.84493639999999937</c:v>
                </c:pt>
                <c:pt idx="48">
                  <c:v>0.85565759999999935</c:v>
                </c:pt>
                <c:pt idx="49">
                  <c:v>0.86637879999999934</c:v>
                </c:pt>
                <c:pt idx="50">
                  <c:v>0.87709999999999999</c:v>
                </c:pt>
              </c:numCache>
            </c:numRef>
          </c:xVal>
          <c:yVal>
            <c:numRef>
              <c:f>'Compilado de Dados'!$AL$57:$AL$107</c:f>
              <c:numCache>
                <c:formatCode>General</c:formatCode>
                <c:ptCount val="51"/>
                <c:pt idx="0">
                  <c:v>66.181100002564563</c:v>
                </c:pt>
                <c:pt idx="1">
                  <c:v>59.989535913604414</c:v>
                </c:pt>
                <c:pt idx="2">
                  <c:v>55.76355753720236</c:v>
                </c:pt>
                <c:pt idx="3">
                  <c:v>53.030392728642255</c:v>
                </c:pt>
                <c:pt idx="4">
                  <c:v>51.390361929223218</c:v>
                </c:pt>
                <c:pt idx="5">
                  <c:v>50.510098193544763</c:v>
                </c:pt>
                <c:pt idx="6">
                  <c:v>50.116059764533929</c:v>
                </c:pt>
                <c:pt idx="7">
                  <c:v>49.988335195956097</c:v>
                </c:pt>
                <c:pt idx="8">
                  <c:v>49.954741022547751</c:v>
                </c:pt>
                <c:pt idx="9">
                  <c:v>49.885211977451036</c:v>
                </c:pt>
                <c:pt idx="10">
                  <c:v>49.686483757488531</c:v>
                </c:pt>
                <c:pt idx="11">
                  <c:v>49.297068335776203</c:v>
                </c:pt>
                <c:pt idx="12">
                  <c:v>48.68252182188553</c:v>
                </c:pt>
                <c:pt idx="13">
                  <c:v>47.831004869605749</c:v>
                </c:pt>
                <c:pt idx="14">
                  <c:v>46.749135632459001</c:v>
                </c:pt>
                <c:pt idx="15">
                  <c:v>45.458135266102545</c:v>
                </c:pt>
                <c:pt idx="16">
                  <c:v>43.990265978971365</c:v>
                </c:pt>
                <c:pt idx="17">
                  <c:v>42.385561630084339</c:v>
                </c:pt>
                <c:pt idx="18">
                  <c:v>40.688850874639684</c:v>
                </c:pt>
                <c:pt idx="19">
                  <c:v>38.947072856781233</c:v>
                </c:pt>
                <c:pt idx="20">
                  <c:v>37.206885450241316</c:v>
                </c:pt>
                <c:pt idx="21">
                  <c:v>35.512566046219945</c:v>
                </c:pt>
                <c:pt idx="22">
                  <c:v>33.904204889344328</c:v>
                </c:pt>
                <c:pt idx="23">
                  <c:v>32.416190960384483</c:v>
                </c:pt>
                <c:pt idx="24">
                  <c:v>31.075990407231075</c:v>
                </c:pt>
                <c:pt idx="25">
                  <c:v>29.903217522934938</c:v>
                </c:pt>
                <c:pt idx="26">
                  <c:v>28.908998271448581</c:v>
                </c:pt>
                <c:pt idx="27">
                  <c:v>28.095626361113318</c:v>
                </c:pt>
                <c:pt idx="28">
                  <c:v>27.456511865222637</c:v>
                </c:pt>
                <c:pt idx="29">
                  <c:v>26.976422390534935</c:v>
                </c:pt>
                <c:pt idx="30">
                  <c:v>26.632016793284492</c:v>
                </c:pt>
                <c:pt idx="31">
                  <c:v>26.392671442152277</c:v>
                </c:pt>
                <c:pt idx="32">
                  <c:v>26.221599029899153</c:v>
                </c:pt>
                <c:pt idx="33">
                  <c:v>26.077259931507797</c:v>
                </c:pt>
                <c:pt idx="34">
                  <c:v>25.915066110128464</c:v>
                </c:pt>
                <c:pt idx="35">
                  <c:v>25.689377571003206</c:v>
                </c:pt>
                <c:pt idx="36">
                  <c:v>25.355791362291711</c:v>
                </c:pt>
                <c:pt idx="37">
                  <c:v>24.873723124006574</c:v>
                </c:pt>
                <c:pt idx="38">
                  <c:v>24.209281184213978</c:v>
                </c:pt>
                <c:pt idx="39">
                  <c:v>23.338433202310625</c:v>
                </c:pt>
                <c:pt idx="40">
                  <c:v>22.250465361123133</c:v>
                </c:pt>
                <c:pt idx="41">
                  <c:v>20.951734105181458</c:v>
                </c:pt>
                <c:pt idx="42">
                  <c:v>19.469710426694292</c:v>
                </c:pt>
                <c:pt idx="43">
                  <c:v>17.857316700681622</c:v>
                </c:pt>
                <c:pt idx="44">
                  <c:v>16.197556065029858</c:v>
                </c:pt>
                <c:pt idx="45">
                  <c:v>14.608434350970128</c:v>
                </c:pt>
                <c:pt idx="46">
                  <c:v>13.24817455772245</c:v>
                </c:pt>
                <c:pt idx="47">
                  <c:v>12.320723878363424</c:v>
                </c:pt>
                <c:pt idx="48">
                  <c:v>12.081553270543736</c:v>
                </c:pt>
                <c:pt idx="49">
                  <c:v>12.843749575387847</c:v>
                </c:pt>
                <c:pt idx="50">
                  <c:v>14.984400184925107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C2-49DC-BDA7-7B911CCCB71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x"/>
            <c:size val="4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'Compilado de Dados'!$AX$45</c:f>
              <c:numCache>
                <c:formatCode>General</c:formatCode>
                <c:ptCount val="1"/>
                <c:pt idx="0">
                  <c:v>0.8107646527934953</c:v>
                </c:pt>
              </c:numCache>
            </c:numRef>
          </c:xVal>
          <c:yVal>
            <c:numRef>
              <c:f>'Compilado de Dados'!$AX$44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C2-49DC-BDA7-7B911CCCB710}"/>
            </c:ext>
          </c:extLst>
        </c:ser>
        <c:ser>
          <c:idx val="2"/>
          <c:order val="2"/>
          <c:spPr>
            <a:ln w="1270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'Compilado de Dados'!$AY$57:$AY$107</c:f>
              <c:numCache>
                <c:formatCode>General</c:formatCode>
                <c:ptCount val="51"/>
                <c:pt idx="0">
                  <c:v>0.87709999999975685</c:v>
                </c:pt>
                <c:pt idx="1">
                  <c:v>0.86750078288775767</c:v>
                </c:pt>
                <c:pt idx="2">
                  <c:v>0.85587650550206429</c:v>
                </c:pt>
                <c:pt idx="3">
                  <c:v>0.84216792796815088</c:v>
                </c:pt>
                <c:pt idx="4">
                  <c:v>0.8264498000644418</c:v>
                </c:pt>
                <c:pt idx="5">
                  <c:v>0.80890525135330393</c:v>
                </c:pt>
                <c:pt idx="6">
                  <c:v>0.78980187973001503</c:v>
                </c:pt>
                <c:pt idx="7">
                  <c:v>0.7694695383896486</c:v>
                </c:pt>
                <c:pt idx="8">
                  <c:v>0.74827982121196235</c:v>
                </c:pt>
                <c:pt idx="9">
                  <c:v>0.72662724656420408</c:v>
                </c:pt>
                <c:pt idx="10">
                  <c:v>0.70491213952189269</c:v>
                </c:pt>
                <c:pt idx="11">
                  <c:v>0.68352521250753973</c:v>
                </c:pt>
                <c:pt idx="12">
                  <c:v>0.6628338443473536</c:v>
                </c:pt>
                <c:pt idx="13">
                  <c:v>0.643170057745859</c:v>
                </c:pt>
                <c:pt idx="14">
                  <c:v>0.62482019517850929</c:v>
                </c:pt>
                <c:pt idx="15">
                  <c:v>0.60801629320223483</c:v>
                </c:pt>
                <c:pt idx="16">
                  <c:v>0.59292915518395417</c:v>
                </c:pt>
                <c:pt idx="17">
                  <c:v>0.57966312244702478</c:v>
                </c:pt>
                <c:pt idx="18">
                  <c:v>0.56825254383564672</c:v>
                </c:pt>
                <c:pt idx="19">
                  <c:v>0.5586599436973072</c:v>
                </c:pt>
                <c:pt idx="20">
                  <c:v>0.55077588828300938</c:v>
                </c:pt>
                <c:pt idx="21">
                  <c:v>0.54442055056564054</c:v>
                </c:pt>
                <c:pt idx="22">
                  <c:v>0.53934697347616889</c:v>
                </c:pt>
                <c:pt idx="23">
                  <c:v>0.53524603155785999</c:v>
                </c:pt>
                <c:pt idx="24">
                  <c:v>0.53175309103835633</c:v>
                </c:pt>
                <c:pt idx="25">
                  <c:v>0.5284563683199115</c:v>
                </c:pt>
                <c:pt idx="26">
                  <c:v>0.52490698688736326</c:v>
                </c:pt>
                <c:pt idx="27">
                  <c:v>0.52063073263413684</c:v>
                </c:pt>
                <c:pt idx="28">
                  <c:v>0.51514150760630684</c:v>
                </c:pt>
                <c:pt idx="29">
                  <c:v>0.50795648216439448</c:v>
                </c:pt>
                <c:pt idx="30">
                  <c:v>0.49861294556337987</c:v>
                </c:pt>
                <c:pt idx="31">
                  <c:v>0.48668685495042729</c:v>
                </c:pt>
                <c:pt idx="32">
                  <c:v>0.4718130827807856</c:v>
                </c:pt>
                <c:pt idx="33">
                  <c:v>0.45370736265141587</c:v>
                </c:pt>
                <c:pt idx="34">
                  <c:v>0.43218993355290869</c:v>
                </c:pt>
                <c:pt idx="35">
                  <c:v>0.40721088253874504</c:v>
                </c:pt>
                <c:pt idx="36">
                  <c:v>0.37887718581346141</c:v>
                </c:pt>
                <c:pt idx="37">
                  <c:v>0.34748144823763538</c:v>
                </c:pt>
                <c:pt idx="38">
                  <c:v>0.31353234125194773</c:v>
                </c:pt>
                <c:pt idx="39">
                  <c:v>0.27778673921822672</c:v>
                </c:pt>
                <c:pt idx="40">
                  <c:v>0.24128355417914782</c:v>
                </c:pt>
                <c:pt idx="41">
                  <c:v>0.20537926903565284</c:v>
                </c:pt>
                <c:pt idx="42">
                  <c:v>0.17178516914189301</c:v>
                </c:pt>
                <c:pt idx="43">
                  <c:v>0.14260627231917922</c:v>
                </c:pt>
                <c:pt idx="44">
                  <c:v>0.1203819572866196</c:v>
                </c:pt>
                <c:pt idx="45">
                  <c:v>0.10812829051073058</c:v>
                </c:pt>
                <c:pt idx="46">
                  <c:v>0.10938205147251856</c:v>
                </c:pt>
                <c:pt idx="47">
                  <c:v>0.12824645635251009</c:v>
                </c:pt>
                <c:pt idx="48">
                  <c:v>0.16943858013371105</c:v>
                </c:pt>
                <c:pt idx="49">
                  <c:v>0.23833847712324796</c:v>
                </c:pt>
                <c:pt idx="50">
                  <c:v>0.34103999989050826</c:v>
                </c:pt>
              </c:numCache>
            </c:numRef>
          </c:xVal>
          <c:yVal>
            <c:numRef>
              <c:f>'Compilado de Dados'!$AX$57:$AX$107</c:f>
              <c:numCache>
                <c:formatCode>General</c:formatCode>
                <c:ptCount val="51"/>
                <c:pt idx="0">
                  <c:v>14.984399999999999</c:v>
                </c:pt>
                <c:pt idx="1">
                  <c:v>16.008333999999998</c:v>
                </c:pt>
                <c:pt idx="2">
                  <c:v>17.032267999999998</c:v>
                </c:pt>
                <c:pt idx="3">
                  <c:v>18.056201999999999</c:v>
                </c:pt>
                <c:pt idx="4">
                  <c:v>19.080136</c:v>
                </c:pt>
                <c:pt idx="5">
                  <c:v>20.10407</c:v>
                </c:pt>
                <c:pt idx="6">
                  <c:v>21.128004000000001</c:v>
                </c:pt>
                <c:pt idx="7">
                  <c:v>22.151938000000001</c:v>
                </c:pt>
                <c:pt idx="8">
                  <c:v>23.175872000000002</c:v>
                </c:pt>
                <c:pt idx="9">
                  <c:v>24.199806000000002</c:v>
                </c:pt>
                <c:pt idx="10">
                  <c:v>25.223740000000003</c:v>
                </c:pt>
                <c:pt idx="11">
                  <c:v>26.247674000000004</c:v>
                </c:pt>
                <c:pt idx="12">
                  <c:v>27.271608000000004</c:v>
                </c:pt>
                <c:pt idx="13">
                  <c:v>28.295542000000005</c:v>
                </c:pt>
                <c:pt idx="14">
                  <c:v>29.319476000000005</c:v>
                </c:pt>
                <c:pt idx="15">
                  <c:v>30.343410000000006</c:v>
                </c:pt>
                <c:pt idx="16">
                  <c:v>31.367344000000006</c:v>
                </c:pt>
                <c:pt idx="17">
                  <c:v>32.391278000000007</c:v>
                </c:pt>
                <c:pt idx="18">
                  <c:v>33.415212000000004</c:v>
                </c:pt>
                <c:pt idx="19">
                  <c:v>34.439146000000001</c:v>
                </c:pt>
                <c:pt idx="20">
                  <c:v>35.463079999999998</c:v>
                </c:pt>
                <c:pt idx="21">
                  <c:v>36.487013999999995</c:v>
                </c:pt>
                <c:pt idx="22">
                  <c:v>37.510947999999992</c:v>
                </c:pt>
                <c:pt idx="23">
                  <c:v>38.534881999999989</c:v>
                </c:pt>
                <c:pt idx="24">
                  <c:v>39.558815999999986</c:v>
                </c:pt>
                <c:pt idx="25">
                  <c:v>40.582749999999983</c:v>
                </c:pt>
                <c:pt idx="26">
                  <c:v>41.60668399999998</c:v>
                </c:pt>
                <c:pt idx="27">
                  <c:v>42.630617999999977</c:v>
                </c:pt>
                <c:pt idx="28">
                  <c:v>43.654551999999974</c:v>
                </c:pt>
                <c:pt idx="29">
                  <c:v>44.678485999999971</c:v>
                </c:pt>
                <c:pt idx="30">
                  <c:v>45.702419999999968</c:v>
                </c:pt>
                <c:pt idx="31">
                  <c:v>46.726353999999965</c:v>
                </c:pt>
                <c:pt idx="32">
                  <c:v>47.750287999999962</c:v>
                </c:pt>
                <c:pt idx="33">
                  <c:v>48.774221999999959</c:v>
                </c:pt>
                <c:pt idx="34">
                  <c:v>49.798155999999956</c:v>
                </c:pt>
                <c:pt idx="35">
                  <c:v>50.822089999999953</c:v>
                </c:pt>
                <c:pt idx="36">
                  <c:v>51.84602399999995</c:v>
                </c:pt>
                <c:pt idx="37">
                  <c:v>52.869957999999947</c:v>
                </c:pt>
                <c:pt idx="38">
                  <c:v>53.893891999999944</c:v>
                </c:pt>
                <c:pt idx="39">
                  <c:v>54.917825999999941</c:v>
                </c:pt>
                <c:pt idx="40">
                  <c:v>55.941759999999938</c:v>
                </c:pt>
                <c:pt idx="41">
                  <c:v>56.965693999999935</c:v>
                </c:pt>
                <c:pt idx="42">
                  <c:v>57.989627999999932</c:v>
                </c:pt>
                <c:pt idx="43">
                  <c:v>59.013561999999929</c:v>
                </c:pt>
                <c:pt idx="44">
                  <c:v>60.037495999999926</c:v>
                </c:pt>
                <c:pt idx="45">
                  <c:v>61.061429999999923</c:v>
                </c:pt>
                <c:pt idx="46">
                  <c:v>62.08536399999992</c:v>
                </c:pt>
                <c:pt idx="47">
                  <c:v>63.109297999999917</c:v>
                </c:pt>
                <c:pt idx="48">
                  <c:v>64.133231999999921</c:v>
                </c:pt>
                <c:pt idx="49">
                  <c:v>65.157165999999918</c:v>
                </c:pt>
                <c:pt idx="50">
                  <c:v>66.181100000000001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BC2-49DC-BDA7-7B911CCCB7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4165391"/>
        <c:axId val="1894171151"/>
      </c:scatterChart>
      <c:valAx>
        <c:axId val="189416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171151"/>
        <c:crosses val="autoZero"/>
        <c:crossBetween val="midCat"/>
      </c:valAx>
      <c:valAx>
        <c:axId val="189417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165391"/>
        <c:crosses val="autoZero"/>
        <c:crossBetween val="midCat"/>
      </c:valAx>
      <c:valAx>
        <c:axId val="964628224"/>
        <c:scaling>
          <c:orientation val="minMax"/>
        </c:scaling>
        <c:delete val="1"/>
        <c:axPos val="t"/>
        <c:numFmt formatCode="0.00%" sourceLinked="1"/>
        <c:majorTickMark val="out"/>
        <c:minorTickMark val="none"/>
        <c:tickLblPos val="nextTo"/>
        <c:crossAx val="964629184"/>
        <c:crosses val="max"/>
        <c:crossBetween val="between"/>
      </c:valAx>
      <c:catAx>
        <c:axId val="96462918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96462822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1"/>
            <c:dispEq val="0"/>
            <c:trendlineLbl>
              <c:layout>
                <c:manualLayout>
                  <c:x val="-0.54077443462340324"/>
                  <c:y val="-2.989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'Compilado de Dados'!$BK$57:$BK$107</c:f>
              <c:numCache>
                <c:formatCode>General</c:formatCode>
                <c:ptCount val="51"/>
                <c:pt idx="0">
                  <c:v>3</c:v>
                </c:pt>
                <c:pt idx="1">
                  <c:v>3.12</c:v>
                </c:pt>
                <c:pt idx="2">
                  <c:v>3.24</c:v>
                </c:pt>
                <c:pt idx="3">
                  <c:v>3.3600000000000003</c:v>
                </c:pt>
                <c:pt idx="4">
                  <c:v>3.4800000000000004</c:v>
                </c:pt>
                <c:pt idx="5">
                  <c:v>3.6000000000000005</c:v>
                </c:pt>
                <c:pt idx="6">
                  <c:v>3.7200000000000006</c:v>
                </c:pt>
                <c:pt idx="7">
                  <c:v>3.8400000000000007</c:v>
                </c:pt>
                <c:pt idx="8">
                  <c:v>3.9600000000000009</c:v>
                </c:pt>
                <c:pt idx="9">
                  <c:v>4.080000000000001</c:v>
                </c:pt>
                <c:pt idx="10">
                  <c:v>4.2000000000000011</c:v>
                </c:pt>
                <c:pt idx="11">
                  <c:v>4.3200000000000012</c:v>
                </c:pt>
                <c:pt idx="12">
                  <c:v>4.4400000000000013</c:v>
                </c:pt>
                <c:pt idx="13">
                  <c:v>4.5600000000000014</c:v>
                </c:pt>
                <c:pt idx="14">
                  <c:v>4.6800000000000015</c:v>
                </c:pt>
                <c:pt idx="15">
                  <c:v>4.8000000000000016</c:v>
                </c:pt>
                <c:pt idx="16">
                  <c:v>4.9200000000000017</c:v>
                </c:pt>
                <c:pt idx="17">
                  <c:v>5.0400000000000018</c:v>
                </c:pt>
                <c:pt idx="18">
                  <c:v>5.1600000000000019</c:v>
                </c:pt>
                <c:pt idx="19">
                  <c:v>5.280000000000002</c:v>
                </c:pt>
                <c:pt idx="20">
                  <c:v>5.4000000000000021</c:v>
                </c:pt>
                <c:pt idx="21">
                  <c:v>5.5200000000000022</c:v>
                </c:pt>
                <c:pt idx="22">
                  <c:v>5.6400000000000023</c:v>
                </c:pt>
                <c:pt idx="23">
                  <c:v>5.7600000000000025</c:v>
                </c:pt>
                <c:pt idx="24">
                  <c:v>5.8800000000000026</c:v>
                </c:pt>
                <c:pt idx="25">
                  <c:v>6.0000000000000027</c:v>
                </c:pt>
                <c:pt idx="26">
                  <c:v>6.1200000000000028</c:v>
                </c:pt>
                <c:pt idx="27">
                  <c:v>6.2400000000000029</c:v>
                </c:pt>
                <c:pt idx="28">
                  <c:v>6.360000000000003</c:v>
                </c:pt>
                <c:pt idx="29">
                  <c:v>6.4800000000000031</c:v>
                </c:pt>
                <c:pt idx="30">
                  <c:v>6.6000000000000032</c:v>
                </c:pt>
                <c:pt idx="31">
                  <c:v>6.7200000000000033</c:v>
                </c:pt>
                <c:pt idx="32">
                  <c:v>6.8400000000000034</c:v>
                </c:pt>
                <c:pt idx="33">
                  <c:v>6.9600000000000035</c:v>
                </c:pt>
                <c:pt idx="34">
                  <c:v>7.0800000000000036</c:v>
                </c:pt>
                <c:pt idx="35">
                  <c:v>7.2000000000000037</c:v>
                </c:pt>
                <c:pt idx="36">
                  <c:v>7.3200000000000038</c:v>
                </c:pt>
                <c:pt idx="37">
                  <c:v>7.4400000000000039</c:v>
                </c:pt>
                <c:pt idx="38">
                  <c:v>7.5600000000000041</c:v>
                </c:pt>
                <c:pt idx="39">
                  <c:v>7.6800000000000042</c:v>
                </c:pt>
                <c:pt idx="40">
                  <c:v>7.8000000000000043</c:v>
                </c:pt>
                <c:pt idx="41">
                  <c:v>7.9200000000000044</c:v>
                </c:pt>
                <c:pt idx="42">
                  <c:v>8.0400000000000045</c:v>
                </c:pt>
                <c:pt idx="43">
                  <c:v>8.1600000000000037</c:v>
                </c:pt>
                <c:pt idx="44">
                  <c:v>8.2800000000000029</c:v>
                </c:pt>
                <c:pt idx="45">
                  <c:v>8.4000000000000021</c:v>
                </c:pt>
                <c:pt idx="46">
                  <c:v>8.5200000000000014</c:v>
                </c:pt>
                <c:pt idx="47">
                  <c:v>8.64</c:v>
                </c:pt>
                <c:pt idx="48">
                  <c:v>8.76</c:v>
                </c:pt>
                <c:pt idx="49">
                  <c:v>8.879999999999999</c:v>
                </c:pt>
                <c:pt idx="50">
                  <c:v>9</c:v>
                </c:pt>
              </c:numCache>
            </c:numRef>
          </c:xVal>
          <c:yVal>
            <c:numRef>
              <c:f>'Compilado de Dados'!$BL$57:$BL$107</c:f>
              <c:numCache>
                <c:formatCode>General</c:formatCode>
                <c:ptCount val="51"/>
                <c:pt idx="0">
                  <c:v>8.5639466444456502</c:v>
                </c:pt>
                <c:pt idx="1">
                  <c:v>9.608190370550119</c:v>
                </c:pt>
                <c:pt idx="2">
                  <c:v>10.189446047955926</c:v>
                </c:pt>
                <c:pt idx="3">
                  <c:v>10.421018166284512</c:v>
                </c:pt>
                <c:pt idx="4">
                  <c:v>10.399180513775036</c:v>
                </c:pt>
                <c:pt idx="5">
                  <c:v>10.204693363750948</c:v>
                </c:pt>
                <c:pt idx="6">
                  <c:v>9.904258255301329</c:v>
                </c:pt>
                <c:pt idx="7">
                  <c:v>9.5519103681610886</c:v>
                </c:pt>
                <c:pt idx="8">
                  <c:v>9.1903484918123013</c:v>
                </c:pt>
                <c:pt idx="9">
                  <c:v>8.8522025887998552</c:v>
                </c:pt>
                <c:pt idx="10">
                  <c:v>8.5612389522450485</c:v>
                </c:pt>
                <c:pt idx="11">
                  <c:v>8.3335029575712269</c:v>
                </c:pt>
                <c:pt idx="12">
                  <c:v>8.1783994084473761</c:v>
                </c:pt>
                <c:pt idx="13">
                  <c:v>8.0997104769451198</c:v>
                </c:pt>
                <c:pt idx="14">
                  <c:v>8.0965512378891162</c:v>
                </c:pt>
                <c:pt idx="15">
                  <c:v>8.1642627974372317</c:v>
                </c:pt>
                <c:pt idx="16">
                  <c:v>8.2952430158559309</c:v>
                </c:pt>
                <c:pt idx="17">
                  <c:v>8.4797148245218068</c:v>
                </c:pt>
                <c:pt idx="18">
                  <c:v>8.7064321371101414</c:v>
                </c:pt>
                <c:pt idx="19">
                  <c:v>8.9633233550205205</c:v>
                </c:pt>
                <c:pt idx="20">
                  <c:v>9.2380724670076688</c:v>
                </c:pt>
                <c:pt idx="21">
                  <c:v>9.5186377429902223</c:v>
                </c:pt>
                <c:pt idx="22">
                  <c:v>9.7937080221111046</c:v>
                </c:pt>
                <c:pt idx="23">
                  <c:v>10.053096595016768</c:v>
                </c:pt>
                <c:pt idx="24">
                  <c:v>10.288072680255254</c:v>
                </c:pt>
                <c:pt idx="25">
                  <c:v>10.491630495044092</c:v>
                </c:pt>
                <c:pt idx="26">
                  <c:v>10.658695920075161</c:v>
                </c:pt>
                <c:pt idx="27">
                  <c:v>10.786270758660294</c:v>
                </c:pt>
                <c:pt idx="28">
                  <c:v>10.873514590030254</c:v>
                </c:pt>
                <c:pt idx="29">
                  <c:v>10.921764216821657</c:v>
                </c:pt>
                <c:pt idx="30">
                  <c:v>10.934490706855513</c:v>
                </c:pt>
                <c:pt idx="31">
                  <c:v>10.917194029056418</c:v>
                </c:pt>
                <c:pt idx="32">
                  <c:v>10.877235283557866</c:v>
                </c:pt>
                <c:pt idx="33">
                  <c:v>10.823606526163758</c:v>
                </c:pt>
                <c:pt idx="34">
                  <c:v>10.766638186794125</c:v>
                </c:pt>
                <c:pt idx="35">
                  <c:v>10.717644082378001</c:v>
                </c:pt>
                <c:pt idx="36">
                  <c:v>10.688504023771429</c:v>
                </c:pt>
                <c:pt idx="37">
                  <c:v>10.691184016978923</c:v>
                </c:pt>
                <c:pt idx="38">
                  <c:v>10.737194058615614</c:v>
                </c:pt>
                <c:pt idx="39">
                  <c:v>10.836983525397272</c:v>
                </c:pt>
                <c:pt idx="40">
                  <c:v>10.999274158171147</c:v>
                </c:pt>
                <c:pt idx="41">
                  <c:v>11.230330639750946</c:v>
                </c:pt>
                <c:pt idx="42">
                  <c:v>11.533168767330835</c:v>
                </c:pt>
                <c:pt idx="43">
                  <c:v>11.906701218910939</c:v>
                </c:pt>
                <c:pt idx="44">
                  <c:v>12.344820913836202</c:v>
                </c:pt>
                <c:pt idx="45">
                  <c:v>12.835421967959746</c:v>
                </c:pt>
                <c:pt idx="46">
                  <c:v>13.359358242443022</c:v>
                </c:pt>
                <c:pt idx="47">
                  <c:v>13.889339487256848</c:v>
                </c:pt>
                <c:pt idx="48">
                  <c:v>14.388765078619372</c:v>
                </c:pt>
                <c:pt idx="49">
                  <c:v>14.810495350771134</c:v>
                </c:pt>
                <c:pt idx="50">
                  <c:v>15.095560521858033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D2-467C-9C6C-E6EA7FD9AE4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4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'Compilado de Dados'!$BK$44</c:f>
              <c:numCache>
                <c:formatCode>General</c:formatCode>
                <c:ptCount val="1"/>
                <c:pt idx="0">
                  <c:v>8.3373279898246722</c:v>
                </c:pt>
              </c:numCache>
            </c:numRef>
          </c:xVal>
          <c:yVal>
            <c:numRef>
              <c:f>'Compilado de Dados'!$BK$45</c:f>
              <c:numCache>
                <c:formatCode>General</c:formatCode>
                <c:ptCount val="1"/>
                <c:pt idx="0">
                  <c:v>12.573649591112599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D2-467C-9C6C-E6EA7FD9A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165391"/>
        <c:axId val="1894171151"/>
      </c:scatterChart>
      <c:valAx>
        <c:axId val="1894165391"/>
        <c:scaling>
          <c:orientation val="minMax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171151"/>
        <c:crosses val="autoZero"/>
        <c:crossBetween val="midCat"/>
      </c:valAx>
      <c:valAx>
        <c:axId val="18941711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16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forward val="10"/>
            <c:backward val="10"/>
            <c:dispRSqr val="1"/>
            <c:dispEq val="0"/>
            <c:trendlineLbl>
              <c:layout>
                <c:manualLayout>
                  <c:x val="-9.139734147301036E-2"/>
                  <c:y val="-0.427342013443210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'Compilado de Dados'!$AX$57:$AX$107</c:f>
              <c:numCache>
                <c:formatCode>General</c:formatCode>
                <c:ptCount val="51"/>
                <c:pt idx="0">
                  <c:v>14.984399999999999</c:v>
                </c:pt>
                <c:pt idx="1">
                  <c:v>16.008333999999998</c:v>
                </c:pt>
                <c:pt idx="2">
                  <c:v>17.032267999999998</c:v>
                </c:pt>
                <c:pt idx="3">
                  <c:v>18.056201999999999</c:v>
                </c:pt>
                <c:pt idx="4">
                  <c:v>19.080136</c:v>
                </c:pt>
                <c:pt idx="5">
                  <c:v>20.10407</c:v>
                </c:pt>
                <c:pt idx="6">
                  <c:v>21.128004000000001</c:v>
                </c:pt>
                <c:pt idx="7">
                  <c:v>22.151938000000001</c:v>
                </c:pt>
                <c:pt idx="8">
                  <c:v>23.175872000000002</c:v>
                </c:pt>
                <c:pt idx="9">
                  <c:v>24.199806000000002</c:v>
                </c:pt>
                <c:pt idx="10">
                  <c:v>25.223740000000003</c:v>
                </c:pt>
                <c:pt idx="11">
                  <c:v>26.247674000000004</c:v>
                </c:pt>
                <c:pt idx="12">
                  <c:v>27.271608000000004</c:v>
                </c:pt>
                <c:pt idx="13">
                  <c:v>28.295542000000005</c:v>
                </c:pt>
                <c:pt idx="14">
                  <c:v>29.319476000000005</c:v>
                </c:pt>
                <c:pt idx="15">
                  <c:v>30.343410000000006</c:v>
                </c:pt>
                <c:pt idx="16">
                  <c:v>31.367344000000006</c:v>
                </c:pt>
                <c:pt idx="17">
                  <c:v>32.391278000000007</c:v>
                </c:pt>
                <c:pt idx="18">
                  <c:v>33.415212000000004</c:v>
                </c:pt>
                <c:pt idx="19">
                  <c:v>34.439146000000001</c:v>
                </c:pt>
                <c:pt idx="20">
                  <c:v>35.463079999999998</c:v>
                </c:pt>
                <c:pt idx="21">
                  <c:v>36.487013999999995</c:v>
                </c:pt>
                <c:pt idx="22">
                  <c:v>37.510947999999992</c:v>
                </c:pt>
                <c:pt idx="23">
                  <c:v>38.534881999999989</c:v>
                </c:pt>
                <c:pt idx="24">
                  <c:v>39.558815999999986</c:v>
                </c:pt>
                <c:pt idx="25">
                  <c:v>40.582749999999983</c:v>
                </c:pt>
                <c:pt idx="26">
                  <c:v>41.60668399999998</c:v>
                </c:pt>
                <c:pt idx="27">
                  <c:v>42.630617999999977</c:v>
                </c:pt>
                <c:pt idx="28">
                  <c:v>43.654551999999974</c:v>
                </c:pt>
                <c:pt idx="29">
                  <c:v>44.678485999999971</c:v>
                </c:pt>
                <c:pt idx="30">
                  <c:v>45.702419999999968</c:v>
                </c:pt>
                <c:pt idx="31">
                  <c:v>46.726353999999965</c:v>
                </c:pt>
                <c:pt idx="32">
                  <c:v>47.750287999999962</c:v>
                </c:pt>
                <c:pt idx="33">
                  <c:v>48.774221999999959</c:v>
                </c:pt>
                <c:pt idx="34">
                  <c:v>49.798155999999956</c:v>
                </c:pt>
                <c:pt idx="35">
                  <c:v>50.822089999999953</c:v>
                </c:pt>
                <c:pt idx="36">
                  <c:v>51.84602399999995</c:v>
                </c:pt>
                <c:pt idx="37">
                  <c:v>52.869957999999947</c:v>
                </c:pt>
                <c:pt idx="38">
                  <c:v>53.893891999999944</c:v>
                </c:pt>
                <c:pt idx="39">
                  <c:v>54.917825999999941</c:v>
                </c:pt>
                <c:pt idx="40">
                  <c:v>55.941759999999938</c:v>
                </c:pt>
                <c:pt idx="41">
                  <c:v>56.965693999999935</c:v>
                </c:pt>
                <c:pt idx="42">
                  <c:v>57.989627999999932</c:v>
                </c:pt>
                <c:pt idx="43">
                  <c:v>59.013561999999929</c:v>
                </c:pt>
                <c:pt idx="44">
                  <c:v>60.037495999999926</c:v>
                </c:pt>
                <c:pt idx="45">
                  <c:v>61.061429999999923</c:v>
                </c:pt>
                <c:pt idx="46">
                  <c:v>62.08536399999992</c:v>
                </c:pt>
                <c:pt idx="47">
                  <c:v>63.109297999999917</c:v>
                </c:pt>
                <c:pt idx="48">
                  <c:v>64.133231999999921</c:v>
                </c:pt>
                <c:pt idx="49">
                  <c:v>65.157165999999918</c:v>
                </c:pt>
                <c:pt idx="50">
                  <c:v>66.181100000000001</c:v>
                </c:pt>
              </c:numCache>
            </c:numRef>
          </c:xVal>
          <c:yVal>
            <c:numRef>
              <c:f>'Compilado de Dados'!$AY$57:$AY$107</c:f>
              <c:numCache>
                <c:formatCode>General</c:formatCode>
                <c:ptCount val="51"/>
                <c:pt idx="0">
                  <c:v>0.87709999999975685</c:v>
                </c:pt>
                <c:pt idx="1">
                  <c:v>0.86750078288775767</c:v>
                </c:pt>
                <c:pt idx="2">
                  <c:v>0.85587650550206429</c:v>
                </c:pt>
                <c:pt idx="3">
                  <c:v>0.84216792796815088</c:v>
                </c:pt>
                <c:pt idx="4">
                  <c:v>0.8264498000644418</c:v>
                </c:pt>
                <c:pt idx="5">
                  <c:v>0.80890525135330393</c:v>
                </c:pt>
                <c:pt idx="6">
                  <c:v>0.78980187973001503</c:v>
                </c:pt>
                <c:pt idx="7">
                  <c:v>0.7694695383896486</c:v>
                </c:pt>
                <c:pt idx="8">
                  <c:v>0.74827982121196235</c:v>
                </c:pt>
                <c:pt idx="9">
                  <c:v>0.72662724656420408</c:v>
                </c:pt>
                <c:pt idx="10">
                  <c:v>0.70491213952189269</c:v>
                </c:pt>
                <c:pt idx="11">
                  <c:v>0.68352521250753973</c:v>
                </c:pt>
                <c:pt idx="12">
                  <c:v>0.6628338443473536</c:v>
                </c:pt>
                <c:pt idx="13">
                  <c:v>0.643170057745859</c:v>
                </c:pt>
                <c:pt idx="14">
                  <c:v>0.62482019517850929</c:v>
                </c:pt>
                <c:pt idx="15">
                  <c:v>0.60801629320223483</c:v>
                </c:pt>
                <c:pt idx="16">
                  <c:v>0.59292915518395417</c:v>
                </c:pt>
                <c:pt idx="17">
                  <c:v>0.57966312244702478</c:v>
                </c:pt>
                <c:pt idx="18">
                  <c:v>0.56825254383564672</c:v>
                </c:pt>
                <c:pt idx="19">
                  <c:v>0.5586599436973072</c:v>
                </c:pt>
                <c:pt idx="20">
                  <c:v>0.55077588828300938</c:v>
                </c:pt>
                <c:pt idx="21">
                  <c:v>0.54442055056564054</c:v>
                </c:pt>
                <c:pt idx="22">
                  <c:v>0.53934697347616889</c:v>
                </c:pt>
                <c:pt idx="23">
                  <c:v>0.53524603155785999</c:v>
                </c:pt>
                <c:pt idx="24">
                  <c:v>0.53175309103835633</c:v>
                </c:pt>
                <c:pt idx="25">
                  <c:v>0.5284563683199115</c:v>
                </c:pt>
                <c:pt idx="26">
                  <c:v>0.52490698688736326</c:v>
                </c:pt>
                <c:pt idx="27">
                  <c:v>0.52063073263413684</c:v>
                </c:pt>
                <c:pt idx="28">
                  <c:v>0.51514150760630684</c:v>
                </c:pt>
                <c:pt idx="29">
                  <c:v>0.50795648216439448</c:v>
                </c:pt>
                <c:pt idx="30">
                  <c:v>0.49861294556337987</c:v>
                </c:pt>
                <c:pt idx="31">
                  <c:v>0.48668685495042729</c:v>
                </c:pt>
                <c:pt idx="32">
                  <c:v>0.4718130827807856</c:v>
                </c:pt>
                <c:pt idx="33">
                  <c:v>0.45370736265141587</c:v>
                </c:pt>
                <c:pt idx="34">
                  <c:v>0.43218993355290869</c:v>
                </c:pt>
                <c:pt idx="35">
                  <c:v>0.40721088253874504</c:v>
                </c:pt>
                <c:pt idx="36">
                  <c:v>0.37887718581346141</c:v>
                </c:pt>
                <c:pt idx="37">
                  <c:v>0.34748144823763538</c:v>
                </c:pt>
                <c:pt idx="38">
                  <c:v>0.31353234125194773</c:v>
                </c:pt>
                <c:pt idx="39">
                  <c:v>0.27778673921822672</c:v>
                </c:pt>
                <c:pt idx="40">
                  <c:v>0.24128355417914782</c:v>
                </c:pt>
                <c:pt idx="41">
                  <c:v>0.20537926903565284</c:v>
                </c:pt>
                <c:pt idx="42">
                  <c:v>0.17178516914189301</c:v>
                </c:pt>
                <c:pt idx="43">
                  <c:v>0.14260627231917922</c:v>
                </c:pt>
                <c:pt idx="44">
                  <c:v>0.1203819572866196</c:v>
                </c:pt>
                <c:pt idx="45">
                  <c:v>0.10812829051073058</c:v>
                </c:pt>
                <c:pt idx="46">
                  <c:v>0.10938205147251856</c:v>
                </c:pt>
                <c:pt idx="47">
                  <c:v>0.12824645635251009</c:v>
                </c:pt>
                <c:pt idx="48">
                  <c:v>0.16943858013371105</c:v>
                </c:pt>
                <c:pt idx="49">
                  <c:v>0.23833847712324796</c:v>
                </c:pt>
                <c:pt idx="50">
                  <c:v>0.34103999989050826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7D-4650-BF35-D55DD35DCC7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4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'Compilado de Dados'!$AX$44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'Compilado de Dados'!$AX$45</c:f>
              <c:numCache>
                <c:formatCode>General</c:formatCode>
                <c:ptCount val="1"/>
                <c:pt idx="0">
                  <c:v>0.8107646527934953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07-494E-8DF7-A750B5A54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165391"/>
        <c:axId val="1894171151"/>
      </c:scatterChart>
      <c:valAx>
        <c:axId val="1894165391"/>
        <c:scaling>
          <c:orientation val="minMax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171151"/>
        <c:crosses val="autoZero"/>
        <c:crossBetween val="midCat"/>
      </c:valAx>
      <c:valAx>
        <c:axId val="18941711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416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380999</xdr:colOff>
      <xdr:row>2</xdr:row>
      <xdr:rowOff>25400</xdr:rowOff>
    </xdr:from>
    <xdr:ext cx="1143001" cy="342851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DA4A683-FBB9-4100-923A-7EC3A99E2916}"/>
            </a:ext>
          </a:extLst>
        </xdr:cNvPr>
        <xdr:cNvSpPr txBox="1"/>
      </xdr:nvSpPr>
      <xdr:spPr>
        <a:xfrm>
          <a:off x="3428999" y="2854325"/>
          <a:ext cx="1143001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± 10 mm</a:t>
          </a:r>
        </a:p>
      </xdr:txBody>
    </xdr:sp>
    <xdr:clientData/>
  </xdr:oneCellAnchor>
  <xdr:oneCellAnchor>
    <xdr:from>
      <xdr:col>8</xdr:col>
      <xdr:colOff>374649</xdr:colOff>
      <xdr:row>2</xdr:row>
      <xdr:rowOff>25400</xdr:rowOff>
    </xdr:from>
    <xdr:ext cx="1133475" cy="342851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7C8907A-7CEB-45F0-AF46-C6E042A90728}"/>
            </a:ext>
          </a:extLst>
        </xdr:cNvPr>
        <xdr:cNvSpPr txBox="1"/>
      </xdr:nvSpPr>
      <xdr:spPr>
        <a:xfrm>
          <a:off x="5251449" y="2854325"/>
          <a:ext cx="1133475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± 20 mm</a:t>
          </a:r>
        </a:p>
      </xdr:txBody>
    </xdr:sp>
    <xdr:clientData/>
  </xdr:oneCellAnchor>
  <xdr:oneCellAnchor>
    <xdr:from>
      <xdr:col>11</xdr:col>
      <xdr:colOff>390524</xdr:colOff>
      <xdr:row>2</xdr:row>
      <xdr:rowOff>25400</xdr:rowOff>
    </xdr:from>
    <xdr:ext cx="1149351" cy="342851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27402B43-6D70-4CFC-854C-4F4F93442D48}"/>
            </a:ext>
          </a:extLst>
        </xdr:cNvPr>
        <xdr:cNvSpPr txBox="1"/>
      </xdr:nvSpPr>
      <xdr:spPr>
        <a:xfrm>
          <a:off x="7096124" y="2854325"/>
          <a:ext cx="1149351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± 30 mm</a:t>
          </a:r>
        </a:p>
      </xdr:txBody>
    </xdr:sp>
    <xdr:clientData/>
  </xdr:oneCellAnchor>
  <xdr:oneCellAnchor>
    <xdr:from>
      <xdr:col>3</xdr:col>
      <xdr:colOff>571499</xdr:colOff>
      <xdr:row>13</xdr:row>
      <xdr:rowOff>100852</xdr:rowOff>
    </xdr:from>
    <xdr:ext cx="369794" cy="468013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E372DFC-5BFB-489B-8D89-E389E14EC919}"/>
            </a:ext>
          </a:extLst>
        </xdr:cNvPr>
        <xdr:cNvSpPr txBox="1"/>
      </xdr:nvSpPr>
      <xdr:spPr>
        <a:xfrm>
          <a:off x="2386852" y="5210734"/>
          <a:ext cx="369794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400"/>
            <a:t>I</a:t>
          </a:r>
        </a:p>
      </xdr:txBody>
    </xdr:sp>
    <xdr:clientData/>
  </xdr:oneCellAnchor>
  <xdr:oneCellAnchor>
    <xdr:from>
      <xdr:col>6</xdr:col>
      <xdr:colOff>571497</xdr:colOff>
      <xdr:row>13</xdr:row>
      <xdr:rowOff>100852</xdr:rowOff>
    </xdr:from>
    <xdr:ext cx="369794" cy="468013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54D84269-4F51-4524-9330-1EEDA0A681E4}"/>
            </a:ext>
          </a:extLst>
        </xdr:cNvPr>
        <xdr:cNvSpPr txBox="1"/>
      </xdr:nvSpPr>
      <xdr:spPr>
        <a:xfrm>
          <a:off x="4202203" y="5210734"/>
          <a:ext cx="369794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400"/>
            <a:t>II</a:t>
          </a:r>
        </a:p>
      </xdr:txBody>
    </xdr:sp>
    <xdr:clientData/>
  </xdr:oneCellAnchor>
  <xdr:oneCellAnchor>
    <xdr:from>
      <xdr:col>9</xdr:col>
      <xdr:colOff>493057</xdr:colOff>
      <xdr:row>13</xdr:row>
      <xdr:rowOff>100853</xdr:rowOff>
    </xdr:from>
    <xdr:ext cx="425826" cy="468013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E66EC000-28CF-4302-A3E0-FC4E526977E3}"/>
            </a:ext>
          </a:extLst>
        </xdr:cNvPr>
        <xdr:cNvSpPr txBox="1"/>
      </xdr:nvSpPr>
      <xdr:spPr>
        <a:xfrm>
          <a:off x="7149351" y="5210735"/>
          <a:ext cx="425826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400"/>
            <a:t>III</a:t>
          </a:r>
        </a:p>
      </xdr:txBody>
    </xdr:sp>
    <xdr:clientData/>
  </xdr:oneCellAnchor>
  <xdr:oneCellAnchor>
    <xdr:from>
      <xdr:col>12</xdr:col>
      <xdr:colOff>381000</xdr:colOff>
      <xdr:row>13</xdr:row>
      <xdr:rowOff>89647</xdr:rowOff>
    </xdr:from>
    <xdr:ext cx="425826" cy="468013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437D3D55-070A-4AE2-897A-4CF8E30E65F1}"/>
            </a:ext>
          </a:extLst>
        </xdr:cNvPr>
        <xdr:cNvSpPr txBox="1"/>
      </xdr:nvSpPr>
      <xdr:spPr>
        <a:xfrm>
          <a:off x="9457765" y="5199529"/>
          <a:ext cx="425826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400"/>
            <a:t>IV</a:t>
          </a:r>
        </a:p>
      </xdr:txBody>
    </xdr:sp>
    <xdr:clientData/>
  </xdr:oneCellAnchor>
  <xdr:oneCellAnchor>
    <xdr:from>
      <xdr:col>15</xdr:col>
      <xdr:colOff>302559</xdr:colOff>
      <xdr:row>13</xdr:row>
      <xdr:rowOff>44824</xdr:rowOff>
    </xdr:from>
    <xdr:ext cx="1333499" cy="530658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B8B7FF38-7E0B-4DE2-8FDF-3FCDE751B492}"/>
            </a:ext>
          </a:extLst>
        </xdr:cNvPr>
        <xdr:cNvSpPr txBox="1"/>
      </xdr:nvSpPr>
      <xdr:spPr>
        <a:xfrm>
          <a:off x="9379324" y="5154706"/>
          <a:ext cx="133349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/>
            <a:t>NÃO</a:t>
          </a:r>
          <a:r>
            <a:rPr lang="pt-BR" sz="1400" baseline="0"/>
            <a:t> INFORMADO</a:t>
          </a:r>
          <a:endParaRPr lang="pt-BR" sz="1400"/>
        </a:p>
      </xdr:txBody>
    </xdr:sp>
    <xdr:clientData/>
  </xdr:oneCellAnchor>
  <xdr:oneCellAnchor>
    <xdr:from>
      <xdr:col>3</xdr:col>
      <xdr:colOff>313765</xdr:colOff>
      <xdr:row>17</xdr:row>
      <xdr:rowOff>123265</xdr:rowOff>
    </xdr:from>
    <xdr:ext cx="1333499" cy="311496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AE5BFC52-F9F5-438B-A848-5814782E3417}"/>
            </a:ext>
          </a:extLst>
        </xdr:cNvPr>
        <xdr:cNvSpPr txBox="1"/>
      </xdr:nvSpPr>
      <xdr:spPr>
        <a:xfrm>
          <a:off x="2129118" y="6096000"/>
          <a:ext cx="133349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/>
            <a:t>FUNDAÇÃO</a:t>
          </a:r>
        </a:p>
      </xdr:txBody>
    </xdr:sp>
    <xdr:clientData/>
  </xdr:oneCellAnchor>
  <xdr:oneCellAnchor>
    <xdr:from>
      <xdr:col>7</xdr:col>
      <xdr:colOff>336177</xdr:colOff>
      <xdr:row>17</xdr:row>
      <xdr:rowOff>112058</xdr:rowOff>
    </xdr:from>
    <xdr:ext cx="1333499" cy="311496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66633366-9C70-4D51-AD6B-4750228071AD}"/>
            </a:ext>
          </a:extLst>
        </xdr:cNvPr>
        <xdr:cNvSpPr txBox="1"/>
      </xdr:nvSpPr>
      <xdr:spPr>
        <a:xfrm>
          <a:off x="4572001" y="6084793"/>
          <a:ext cx="133349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/>
            <a:t>OBRA CIVIL</a:t>
          </a:r>
        </a:p>
      </xdr:txBody>
    </xdr:sp>
    <xdr:clientData/>
  </xdr:oneCellAnchor>
  <xdr:oneCellAnchor>
    <xdr:from>
      <xdr:col>11</xdr:col>
      <xdr:colOff>291353</xdr:colOff>
      <xdr:row>17</xdr:row>
      <xdr:rowOff>33618</xdr:rowOff>
    </xdr:from>
    <xdr:ext cx="1501589" cy="530658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ED81E5D8-6CE5-4F14-BB0F-BBB909EF46AC}"/>
            </a:ext>
          </a:extLst>
        </xdr:cNvPr>
        <xdr:cNvSpPr txBox="1"/>
      </xdr:nvSpPr>
      <xdr:spPr>
        <a:xfrm>
          <a:off x="6947647" y="6006353"/>
          <a:ext cx="150158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/>
            <a:t>OBRA</a:t>
          </a:r>
          <a:r>
            <a:rPr lang="pt-BR" sz="1400" baseline="0"/>
            <a:t> DE INFRAESTRUTURA</a:t>
          </a:r>
          <a:endParaRPr lang="pt-BR" sz="1400"/>
        </a:p>
      </xdr:txBody>
    </xdr:sp>
    <xdr:clientData/>
  </xdr:oneCellAnchor>
  <xdr:oneCellAnchor>
    <xdr:from>
      <xdr:col>3</xdr:col>
      <xdr:colOff>268940</xdr:colOff>
      <xdr:row>21</xdr:row>
      <xdr:rowOff>145677</xdr:rowOff>
    </xdr:from>
    <xdr:ext cx="1467972" cy="311496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C7727AE7-6D90-4E20-94D2-AD55C27F3286}"/>
            </a:ext>
          </a:extLst>
        </xdr:cNvPr>
        <xdr:cNvSpPr txBox="1"/>
      </xdr:nvSpPr>
      <xdr:spPr>
        <a:xfrm>
          <a:off x="2084293" y="4852148"/>
          <a:ext cx="146797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/>
            <a:t>CONVENCIONAL</a:t>
          </a:r>
        </a:p>
      </xdr:txBody>
    </xdr:sp>
    <xdr:clientData/>
  </xdr:oneCellAnchor>
  <xdr:oneCellAnchor>
    <xdr:from>
      <xdr:col>7</xdr:col>
      <xdr:colOff>414617</xdr:colOff>
      <xdr:row>21</xdr:row>
      <xdr:rowOff>112059</xdr:rowOff>
    </xdr:from>
    <xdr:ext cx="1199030" cy="311496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2E755FD5-C3F6-4B47-ACE2-260E8BF9E232}"/>
            </a:ext>
          </a:extLst>
        </xdr:cNvPr>
        <xdr:cNvSpPr txBox="1"/>
      </xdr:nvSpPr>
      <xdr:spPr>
        <a:xfrm>
          <a:off x="4650441" y="4863353"/>
          <a:ext cx="119903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/>
            <a:t>BOMBEADO</a:t>
          </a:r>
        </a:p>
      </xdr:txBody>
    </xdr:sp>
    <xdr:clientData/>
  </xdr:oneCellAnchor>
  <xdr:oneCellAnchor>
    <xdr:from>
      <xdr:col>11</xdr:col>
      <xdr:colOff>448235</xdr:colOff>
      <xdr:row>21</xdr:row>
      <xdr:rowOff>112059</xdr:rowOff>
    </xdr:from>
    <xdr:ext cx="1143000" cy="311496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D224C6F5-72AE-4D8D-A6B8-CF8A3C1137CA}"/>
            </a:ext>
          </a:extLst>
        </xdr:cNvPr>
        <xdr:cNvSpPr txBox="1"/>
      </xdr:nvSpPr>
      <xdr:spPr>
        <a:xfrm>
          <a:off x="7104529" y="4863353"/>
          <a:ext cx="11430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/>
            <a:t>EXTRUSADO</a:t>
          </a:r>
        </a:p>
      </xdr:txBody>
    </xdr:sp>
    <xdr:clientData/>
  </xdr:oneCellAnchor>
  <xdr:oneCellAnchor>
    <xdr:from>
      <xdr:col>15</xdr:col>
      <xdr:colOff>313764</xdr:colOff>
      <xdr:row>20</xdr:row>
      <xdr:rowOff>168089</xdr:rowOff>
    </xdr:from>
    <xdr:ext cx="1288678" cy="530658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3CE9D368-5058-4344-AEAA-3B28AB9E4F45}"/>
            </a:ext>
          </a:extLst>
        </xdr:cNvPr>
        <xdr:cNvSpPr txBox="1"/>
      </xdr:nvSpPr>
      <xdr:spPr>
        <a:xfrm>
          <a:off x="9390529" y="6712324"/>
          <a:ext cx="1288678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/>
            <a:t>AUTO ADENSÁVEL</a:t>
          </a:r>
        </a:p>
      </xdr:txBody>
    </xdr:sp>
    <xdr:clientData/>
  </xdr:oneCellAnchor>
  <xdr:oneCellAnchor>
    <xdr:from>
      <xdr:col>3</xdr:col>
      <xdr:colOff>313764</xdr:colOff>
      <xdr:row>25</xdr:row>
      <xdr:rowOff>156882</xdr:rowOff>
    </xdr:from>
    <xdr:ext cx="750795" cy="311496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A3E24109-B4BC-411D-B686-1589CBE2EA29}"/>
            </a:ext>
          </a:extLst>
        </xdr:cNvPr>
        <xdr:cNvSpPr txBox="1"/>
      </xdr:nvSpPr>
      <xdr:spPr>
        <a:xfrm>
          <a:off x="2129117" y="5625353"/>
          <a:ext cx="75079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/>
            <a:t>USUAL</a:t>
          </a:r>
        </a:p>
      </xdr:txBody>
    </xdr:sp>
    <xdr:clientData/>
  </xdr:oneCellAnchor>
  <xdr:oneCellAnchor>
    <xdr:from>
      <xdr:col>7</xdr:col>
      <xdr:colOff>403411</xdr:colOff>
      <xdr:row>25</xdr:row>
      <xdr:rowOff>145677</xdr:rowOff>
    </xdr:from>
    <xdr:ext cx="1232647" cy="311496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D66DCCF7-1966-4D7B-B8F7-890699ECF058}"/>
            </a:ext>
          </a:extLst>
        </xdr:cNvPr>
        <xdr:cNvSpPr txBox="1"/>
      </xdr:nvSpPr>
      <xdr:spPr>
        <a:xfrm>
          <a:off x="4639235" y="5681383"/>
          <a:ext cx="123264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/>
            <a:t>PREMOLDADO</a:t>
          </a:r>
        </a:p>
      </xdr:txBody>
    </xdr:sp>
    <xdr:clientData/>
  </xdr:oneCellAnchor>
  <xdr:oneCellAnchor>
    <xdr:from>
      <xdr:col>11</xdr:col>
      <xdr:colOff>280147</xdr:colOff>
      <xdr:row>25</xdr:row>
      <xdr:rowOff>145677</xdr:rowOff>
    </xdr:from>
    <xdr:ext cx="1355911" cy="311496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56248601-323B-4B79-9BEF-6AFBB23AE0BF}"/>
            </a:ext>
          </a:extLst>
        </xdr:cNvPr>
        <xdr:cNvSpPr txBox="1"/>
      </xdr:nvSpPr>
      <xdr:spPr>
        <a:xfrm>
          <a:off x="4515971" y="5614148"/>
          <a:ext cx="13559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/>
            <a:t>PAREDES</a:t>
          </a:r>
        </a:p>
      </xdr:txBody>
    </xdr:sp>
    <xdr:clientData/>
  </xdr:oneCellAnchor>
  <xdr:oneCellAnchor>
    <xdr:from>
      <xdr:col>15</xdr:col>
      <xdr:colOff>280148</xdr:colOff>
      <xdr:row>25</xdr:row>
      <xdr:rowOff>145677</xdr:rowOff>
    </xdr:from>
    <xdr:ext cx="896470" cy="311496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6F63535A-E886-4A3A-B88D-8E242C8DB1E6}"/>
            </a:ext>
          </a:extLst>
        </xdr:cNvPr>
        <xdr:cNvSpPr txBox="1"/>
      </xdr:nvSpPr>
      <xdr:spPr>
        <a:xfrm>
          <a:off x="9356913" y="5614148"/>
          <a:ext cx="8964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/>
            <a:t>OUTRO: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547008</xdr:colOff>
      <xdr:row>20</xdr:row>
      <xdr:rowOff>58511</xdr:rowOff>
    </xdr:from>
    <xdr:to>
      <xdr:col>34</xdr:col>
      <xdr:colOff>431808</xdr:colOff>
      <xdr:row>39</xdr:row>
      <xdr:rowOff>39011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266703-BA1D-4F14-94B9-831F7701B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14967</xdr:colOff>
      <xdr:row>20</xdr:row>
      <xdr:rowOff>58511</xdr:rowOff>
    </xdr:from>
    <xdr:to>
      <xdr:col>22</xdr:col>
      <xdr:colOff>512089</xdr:colOff>
      <xdr:row>39</xdr:row>
      <xdr:rowOff>39011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BD8469-D954-4AE7-8817-CE3212D01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547008</xdr:colOff>
      <xdr:row>0</xdr:row>
      <xdr:rowOff>183697</xdr:rowOff>
    </xdr:from>
    <xdr:to>
      <xdr:col>34</xdr:col>
      <xdr:colOff>431808</xdr:colOff>
      <xdr:row>19</xdr:row>
      <xdr:rowOff>164197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9EE4379-3E33-4CDD-A0C3-371C2ED68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14967</xdr:colOff>
      <xdr:row>0</xdr:row>
      <xdr:rowOff>183697</xdr:rowOff>
    </xdr:from>
    <xdr:to>
      <xdr:col>22</xdr:col>
      <xdr:colOff>512089</xdr:colOff>
      <xdr:row>19</xdr:row>
      <xdr:rowOff>164197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426BEDF-7008-46CC-8697-F78686822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13</xdr:row>
      <xdr:rowOff>0</xdr:rowOff>
    </xdr:from>
    <xdr:to>
      <xdr:col>50</xdr:col>
      <xdr:colOff>964218</xdr:colOff>
      <xdr:row>31</xdr:row>
      <xdr:rowOff>178174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5E29A87-D56B-4F65-B9C8-0C00DF318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4E9A87-9DF9-4830-9D57-411554A96F0E}" name="CPs" displayName="CPs" ref="A5:J33" totalsRowShown="0" headerRowDxfId="22" dataDxfId="21">
  <autoFilter ref="A5:J33" xr:uid="{8D4E9A87-9DF9-4830-9D57-411554A96F0E}"/>
  <tableColumns count="10">
    <tableColumn id="1" xr3:uid="{0C0786C8-BCFD-465D-8377-6808C658FC5F}" name="CP" dataDxfId="20"/>
    <tableColumn id="2" xr3:uid="{E0876858-440A-4BE3-B798-DEDC8FB6A275}" name="Tipo de CP" dataDxfId="19"/>
    <tableColumn id="3" xr3:uid="{5355D8C4-186F-4A1F-B271-6F44177B76B1}" name="m" dataDxfId="18"/>
    <tableColumn id="4" xr3:uid="{D2340EC8-7FDD-4A90-A8A1-0ACA42C4C8EA}" name="Data de Moldagem" dataDxfId="17"/>
    <tableColumn id="5" xr3:uid="{2B4C0431-5CA8-4E2B-91E1-56B1CDE0D8DC}" name="Idade" dataDxfId="16"/>
    <tableColumn id="6" xr3:uid="{B739DF20-2402-4B85-88BD-D7DBD47FD9A8}" name="Data de Ruptura" dataDxfId="15">
      <calculatedColumnFormula>CPs[[#This Row],[Data de Moldagem]]+CPs[[#This Row],[Idade]]</calculatedColumnFormula>
    </tableColumn>
    <tableColumn id="7" xr3:uid="{1DC7E7B1-6CCD-47FE-8D14-C6994FBE98B5}" name="Carga (tonelada)" dataDxfId="14"/>
    <tableColumn id="8" xr3:uid="{506821D5-A6EE-4118-B184-7F99D2235E9E}" name="Tipo de Ruptura" dataDxfId="13"/>
    <tableColumn id="9" xr3:uid="{45F7D6C2-44D8-4A96-A4F2-C1DBF9023ECB}" name="Fcj (MPa)" dataDxfId="12">
      <calculatedColumnFormula>IF(OR(CPs[[#This Row],[Tipo de CP]]="",CPs[[#This Row],[Carga (tonelada)]]="")=TRUE,"",CPs[[#This Row],[Carga (tonelada)]]*VLOOKUP(CPs[[#This Row],[Tipo de CP]],$T$3:$U$5,2,FALSE))</calculatedColumnFormula>
    </tableColumn>
    <tableColumn id="10" xr3:uid="{FF6EB5EE-B788-4A5C-ABB9-C2210A4FD30E}" name="Índice de Eficiência" dataDxfId="11">
      <calculatedColumnFormula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A45F-004B-42B6-BFA5-FFE7270E3D27}">
  <sheetPr codeName="Planilha3"/>
  <dimension ref="A1:AG9"/>
  <sheetViews>
    <sheetView view="pageBreakPreview" zoomScale="85" zoomScaleNormal="70" zoomScaleSheetLayoutView="85" workbookViewId="0">
      <selection activeCell="D4" sqref="D4:V4"/>
    </sheetView>
  </sheetViews>
  <sheetFormatPr defaultRowHeight="14.25"/>
  <cols>
    <col min="16" max="16" width="10" bestFit="1" customWidth="1"/>
  </cols>
  <sheetData>
    <row r="1" spans="1:33" ht="51" customHeight="1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</row>
    <row r="2" spans="1:33" ht="15.75">
      <c r="A2" s="110" t="s">
        <v>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 t="s">
        <v>2</v>
      </c>
      <c r="X2" s="110"/>
      <c r="Y2" s="110"/>
      <c r="Z2" s="110"/>
      <c r="AA2" s="110"/>
      <c r="AB2" s="110"/>
      <c r="AC2" s="110"/>
      <c r="AD2" s="110"/>
      <c r="AE2" s="110"/>
      <c r="AF2" s="110"/>
      <c r="AG2" s="110"/>
    </row>
    <row r="3" spans="1:33" ht="15.75">
      <c r="A3" s="110" t="s">
        <v>3</v>
      </c>
      <c r="B3" s="110"/>
      <c r="C3" s="110"/>
      <c r="D3" s="111" t="s">
        <v>4</v>
      </c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</row>
    <row r="4" spans="1:33" ht="15.75">
      <c r="A4" s="110" t="s">
        <v>5</v>
      </c>
      <c r="B4" s="110"/>
      <c r="C4" s="110"/>
      <c r="D4" s="111" t="s">
        <v>6</v>
      </c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</row>
    <row r="5" spans="1:33" ht="15.75">
      <c r="A5" s="110" t="s">
        <v>7</v>
      </c>
      <c r="B5" s="110"/>
      <c r="C5" s="110"/>
      <c r="D5" s="111" t="s">
        <v>8</v>
      </c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</row>
    <row r="6" spans="1:33">
      <c r="A6" s="108" t="s">
        <v>9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ht="15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2"/>
      <c r="AG9" s="2"/>
    </row>
  </sheetData>
  <mergeCells count="11">
    <mergeCell ref="A6:AG8"/>
    <mergeCell ref="A1:AG1"/>
    <mergeCell ref="A2:V2"/>
    <mergeCell ref="W2:AG2"/>
    <mergeCell ref="A3:C3"/>
    <mergeCell ref="D3:V3"/>
    <mergeCell ref="W3:AG5"/>
    <mergeCell ref="A4:C4"/>
    <mergeCell ref="D4:V4"/>
    <mergeCell ref="A5:C5"/>
    <mergeCell ref="D5:V5"/>
  </mergeCells>
  <pageMargins left="0.511811024" right="0.511811024" top="0.78740157499999996" bottom="0.78740157499999996" header="0.31496062000000002" footer="0.31496062000000002"/>
  <pageSetup paperSize="9"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E68A-EB28-4E14-BEDE-6DDF65F09EB1}">
  <sheetPr codeName="Planilha1"/>
  <dimension ref="A1:AE84"/>
  <sheetViews>
    <sheetView view="pageBreakPreview" zoomScale="85" zoomScaleNormal="70" zoomScaleSheetLayoutView="85" workbookViewId="0">
      <selection activeCell="L54" sqref="L54:N54"/>
    </sheetView>
  </sheetViews>
  <sheetFormatPr defaultRowHeight="14.25"/>
  <cols>
    <col min="16" max="16" width="14" bestFit="1" customWidth="1"/>
    <col min="17" max="17" width="14" customWidth="1"/>
    <col min="18" max="18" width="10" customWidth="1"/>
  </cols>
  <sheetData>
    <row r="1" spans="1:31" ht="15.75">
      <c r="A1" s="1"/>
      <c r="B1" s="1"/>
      <c r="C1" s="1"/>
      <c r="D1" s="1"/>
      <c r="E1" s="17"/>
      <c r="F1" s="17"/>
      <c r="G1" s="1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2"/>
      <c r="Y1" s="2"/>
      <c r="Z1" s="2"/>
      <c r="AA1" s="1"/>
      <c r="AB1" s="1"/>
      <c r="AC1" s="1"/>
      <c r="AD1" s="2"/>
      <c r="AE1" s="2"/>
    </row>
    <row r="2" spans="1:31" ht="48" customHeight="1">
      <c r="A2" s="113" t="s">
        <v>10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5"/>
    </row>
    <row r="3" spans="1:31" ht="27" customHeight="1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5"/>
      <c r="P3" s="5"/>
      <c r="Q3" s="5"/>
      <c r="R3" s="5">
        <f>IF(COUNTIF(R4:R89,"ERRO")=0,IF(S3&gt;=2,0,""),COUNTIF(R4:R89,"ERRO"))</f>
        <v>0</v>
      </c>
      <c r="S3" s="2">
        <f>COUNTIF(R4:R89,"OK")</f>
        <v>4</v>
      </c>
      <c r="T3" s="2" t="str">
        <f>IF(OR(R4=0,R18=0,R32=0)=TRUE,"ERRO","OK")</f>
        <v>OK</v>
      </c>
      <c r="U3" s="2" t="str">
        <f>IF(R3&lt;&gt;0,"ERRO",IF(S3&lt;3,"ERRO",IF(T3="ERRO","ERRO","OK")))</f>
        <v>OK</v>
      </c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8.75">
      <c r="A4" s="120" t="s">
        <v>11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2"/>
      <c r="O4" s="2"/>
      <c r="P4" s="140" t="s">
        <v>12</v>
      </c>
      <c r="Q4" s="42"/>
      <c r="R4" s="112">
        <f>COUNTIF(R6:R16,"OK")</f>
        <v>1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8.75">
      <c r="A5" s="123" t="s">
        <v>13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5"/>
      <c r="O5" s="2"/>
      <c r="P5" s="140"/>
      <c r="Q5" s="42"/>
      <c r="R5" s="11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5" customHeight="1">
      <c r="A6" s="110" t="s">
        <v>14</v>
      </c>
      <c r="B6" s="110"/>
      <c r="C6" s="110"/>
      <c r="D6" s="110"/>
      <c r="E6" s="111" t="s">
        <v>135</v>
      </c>
      <c r="F6" s="111"/>
      <c r="G6" s="111"/>
      <c r="H6" s="111"/>
      <c r="I6" s="111"/>
      <c r="J6" s="111"/>
      <c r="K6" s="111"/>
      <c r="L6" s="111"/>
      <c r="M6" s="111"/>
      <c r="N6" s="111"/>
      <c r="O6" s="134" t="b">
        <v>1</v>
      </c>
      <c r="P6" s="138">
        <v>1</v>
      </c>
      <c r="Q6" s="43"/>
      <c r="R6" s="137" t="str">
        <f>IF(AND(O6=FALSE,E6="",E7="",E8="")=TRUE,"",IF(AND(O6=TRUE,E6&lt;&gt;"",E7&lt;&gt;"",E8&lt;&gt;"")=TRUE,"OK","ERRO"))</f>
        <v>OK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" customHeight="1">
      <c r="A7" s="120" t="s">
        <v>15</v>
      </c>
      <c r="B7" s="121"/>
      <c r="C7" s="121"/>
      <c r="D7" s="122"/>
      <c r="E7" s="117" t="s">
        <v>16</v>
      </c>
      <c r="F7" s="118"/>
      <c r="G7" s="118"/>
      <c r="H7" s="118"/>
      <c r="I7" s="118"/>
      <c r="J7" s="118"/>
      <c r="K7" s="118"/>
      <c r="L7" s="118"/>
      <c r="M7" s="118"/>
      <c r="N7" s="119"/>
      <c r="O7" s="134"/>
      <c r="P7" s="138"/>
      <c r="Q7" s="43"/>
      <c r="R7" s="137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5" customHeight="1">
      <c r="A8" s="110" t="s">
        <v>17</v>
      </c>
      <c r="B8" s="110"/>
      <c r="C8" s="110"/>
      <c r="D8" s="110"/>
      <c r="E8" s="111" t="s">
        <v>138</v>
      </c>
      <c r="F8" s="111"/>
      <c r="G8" s="111"/>
      <c r="H8" s="111"/>
      <c r="I8" s="111"/>
      <c r="J8" s="111"/>
      <c r="K8" s="111"/>
      <c r="L8" s="111"/>
      <c r="M8" s="111"/>
      <c r="N8" s="111"/>
      <c r="O8" s="134"/>
      <c r="P8" s="138"/>
      <c r="Q8" s="43"/>
      <c r="R8" s="137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5" customHeight="1">
      <c r="A9" s="123" t="s">
        <v>18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5"/>
      <c r="O9" s="2"/>
      <c r="P9" s="44"/>
      <c r="Q9" s="44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5" customHeight="1">
      <c r="A10" s="110" t="s">
        <v>14</v>
      </c>
      <c r="B10" s="110"/>
      <c r="C10" s="110"/>
      <c r="D10" s="110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34" t="b">
        <v>0</v>
      </c>
      <c r="P10" s="138"/>
      <c r="Q10" s="43"/>
      <c r="R10" s="137" t="str">
        <f>IF(AND(O10=FALSE,E10="",E11="",E12="")=TRUE,"",IF(AND(O10=TRUE,E10&lt;&gt;"",E11&lt;&gt;"",E12&lt;&gt;"")=TRUE,"OK","ERRO"))</f>
        <v/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" customHeight="1">
      <c r="A11" s="120" t="s">
        <v>15</v>
      </c>
      <c r="B11" s="121"/>
      <c r="C11" s="121"/>
      <c r="D11" s="122"/>
      <c r="E11" s="117"/>
      <c r="F11" s="118"/>
      <c r="G11" s="118"/>
      <c r="H11" s="118"/>
      <c r="I11" s="118"/>
      <c r="J11" s="118"/>
      <c r="K11" s="118"/>
      <c r="L11" s="118"/>
      <c r="M11" s="118"/>
      <c r="N11" s="119"/>
      <c r="O11" s="134"/>
      <c r="P11" s="138"/>
      <c r="Q11" s="43"/>
      <c r="R11" s="137"/>
      <c r="S11" s="2"/>
      <c r="T11" s="2"/>
      <c r="AE11" s="2"/>
    </row>
    <row r="12" spans="1:31" ht="15" customHeight="1">
      <c r="A12" s="126" t="s">
        <v>17</v>
      </c>
      <c r="B12" s="126"/>
      <c r="C12" s="126"/>
      <c r="D12" s="126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34"/>
      <c r="P12" s="138"/>
      <c r="Q12" s="43"/>
      <c r="R12" s="137"/>
      <c r="S12" s="2"/>
      <c r="T12" s="2"/>
      <c r="AE12" s="2"/>
    </row>
    <row r="13" spans="1:31" ht="15.75">
      <c r="A13" s="123" t="s">
        <v>20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5"/>
      <c r="O13" s="2"/>
      <c r="P13" s="44"/>
      <c r="Q13" s="44"/>
      <c r="R13" s="2"/>
      <c r="S13" s="2"/>
      <c r="T13" s="2"/>
      <c r="AE13" s="2"/>
    </row>
    <row r="14" spans="1:31" ht="23.25">
      <c r="A14" s="110" t="s">
        <v>14</v>
      </c>
      <c r="B14" s="110"/>
      <c r="C14" s="110"/>
      <c r="D14" s="110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34" t="b">
        <v>0</v>
      </c>
      <c r="P14" s="138"/>
      <c r="Q14" s="43"/>
      <c r="R14" s="137" t="str">
        <f>IF(AND(O14=FALSE,E14="",E15="",E16="")=TRUE,"",IF(AND(O14=TRUE,E14&lt;&gt;"",E15&lt;&gt;"",E16&lt;&gt;"")=TRUE,"OK","ERRO"))</f>
        <v/>
      </c>
      <c r="S14" s="2"/>
      <c r="T14" s="2"/>
      <c r="AE14" s="2"/>
    </row>
    <row r="15" spans="1:31" ht="23.25">
      <c r="A15" s="120" t="s">
        <v>15</v>
      </c>
      <c r="B15" s="121"/>
      <c r="C15" s="121"/>
      <c r="D15" s="122"/>
      <c r="E15" s="117"/>
      <c r="F15" s="118"/>
      <c r="G15" s="118"/>
      <c r="H15" s="118"/>
      <c r="I15" s="118"/>
      <c r="J15" s="118"/>
      <c r="K15" s="118"/>
      <c r="L15" s="118"/>
      <c r="M15" s="118"/>
      <c r="N15" s="119"/>
      <c r="O15" s="134"/>
      <c r="P15" s="138"/>
      <c r="Q15" s="43"/>
      <c r="R15" s="137"/>
      <c r="S15" s="2"/>
      <c r="T15" s="2"/>
      <c r="AE15" s="2"/>
    </row>
    <row r="16" spans="1:31" ht="23.25">
      <c r="A16" s="110" t="s">
        <v>17</v>
      </c>
      <c r="B16" s="110"/>
      <c r="C16" s="110"/>
      <c r="D16" s="110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34"/>
      <c r="P16" s="138"/>
      <c r="Q16" s="43"/>
      <c r="R16" s="137"/>
      <c r="S16" s="2"/>
      <c r="T16" s="2"/>
      <c r="AE16" s="2"/>
    </row>
    <row r="17" spans="1:31" ht="27" customHeight="1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2"/>
      <c r="P17" s="44"/>
      <c r="Q17" s="44"/>
      <c r="R17" s="2"/>
      <c r="S17" s="2"/>
      <c r="T17" s="2"/>
      <c r="AE17" s="2"/>
    </row>
    <row r="18" spans="1:31" ht="15.75">
      <c r="A18" s="120" t="s">
        <v>21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2"/>
      <c r="O18" s="2"/>
      <c r="P18" s="44"/>
      <c r="Q18" s="44"/>
      <c r="R18" s="112">
        <f>COUNTIF(R20:R30,"OK")</f>
        <v>1</v>
      </c>
      <c r="S18" s="2"/>
      <c r="T18" s="2"/>
      <c r="AE18" s="2"/>
    </row>
    <row r="19" spans="1:31" ht="15.75">
      <c r="A19" s="123" t="s">
        <v>22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5"/>
      <c r="O19" s="2"/>
      <c r="P19" s="44"/>
      <c r="Q19" s="44"/>
      <c r="R19" s="112"/>
      <c r="S19" s="2"/>
      <c r="T19" s="2"/>
      <c r="AE19" s="2"/>
    </row>
    <row r="20" spans="1:31" ht="23.25">
      <c r="A20" s="110" t="s">
        <v>14</v>
      </c>
      <c r="B20" s="110"/>
      <c r="C20" s="110"/>
      <c r="D20" s="110"/>
      <c r="E20" s="111" t="s">
        <v>136</v>
      </c>
      <c r="F20" s="111"/>
      <c r="G20" s="111"/>
      <c r="H20" s="111"/>
      <c r="I20" s="111"/>
      <c r="J20" s="111"/>
      <c r="K20" s="111"/>
      <c r="L20" s="111"/>
      <c r="M20" s="111"/>
      <c r="N20" s="111"/>
      <c r="O20" s="134" t="b">
        <v>1</v>
      </c>
      <c r="P20" s="138">
        <v>0.7</v>
      </c>
      <c r="Q20" s="43"/>
      <c r="R20" s="136" t="str">
        <f>IF(AND(O20=FALSE,E20="",E21="",E22="")=TRUE,"",IF(AND(O20=TRUE,E20&lt;&gt;"",E21&lt;&gt;"",E22&lt;&gt;"")=TRUE,"OK","ERRO"))</f>
        <v>OK</v>
      </c>
      <c r="S20" s="2"/>
      <c r="T20" s="2"/>
      <c r="AE20" s="2"/>
    </row>
    <row r="21" spans="1:31" ht="23.25">
      <c r="A21" s="110" t="s">
        <v>23</v>
      </c>
      <c r="B21" s="110"/>
      <c r="C21" s="110"/>
      <c r="D21" s="110"/>
      <c r="E21" s="111" t="s">
        <v>19</v>
      </c>
      <c r="F21" s="111"/>
      <c r="G21" s="111"/>
      <c r="H21" s="111"/>
      <c r="I21" s="111"/>
      <c r="J21" s="111"/>
      <c r="K21" s="111"/>
      <c r="L21" s="111"/>
      <c r="M21" s="111"/>
      <c r="N21" s="111"/>
      <c r="O21" s="134"/>
      <c r="P21" s="138"/>
      <c r="Q21" s="43"/>
      <c r="R21" s="136"/>
      <c r="S21" s="2"/>
      <c r="T21" s="2"/>
      <c r="AE21" s="2"/>
    </row>
    <row r="22" spans="1:31" ht="23.25">
      <c r="A22" s="110" t="s">
        <v>17</v>
      </c>
      <c r="B22" s="110"/>
      <c r="C22" s="110"/>
      <c r="D22" s="110"/>
      <c r="E22" s="111" t="s">
        <v>137</v>
      </c>
      <c r="F22" s="111"/>
      <c r="G22" s="111"/>
      <c r="H22" s="111"/>
      <c r="I22" s="111"/>
      <c r="J22" s="111"/>
      <c r="K22" s="111"/>
      <c r="L22" s="111"/>
      <c r="M22" s="111"/>
      <c r="N22" s="111"/>
      <c r="O22" s="134"/>
      <c r="P22" s="138"/>
      <c r="Q22" s="43"/>
      <c r="R22" s="13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.75">
      <c r="A23" s="130" t="s">
        <v>24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2"/>
      <c r="P23" s="44"/>
      <c r="Q23" s="44"/>
      <c r="R23" s="2"/>
      <c r="S23" s="2"/>
      <c r="AD23" s="2"/>
      <c r="AE23" s="2"/>
    </row>
    <row r="24" spans="1:31" ht="23.25">
      <c r="A24" s="110" t="s">
        <v>14</v>
      </c>
      <c r="B24" s="110"/>
      <c r="C24" s="110"/>
      <c r="D24" s="110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34" t="b">
        <v>0</v>
      </c>
      <c r="P24" s="138"/>
      <c r="Q24" s="43"/>
      <c r="R24" s="136" t="str">
        <f>IF(AND(O24=FALSE,E24="",E25="",E26="")=TRUE,"",IF(AND(O24=TRUE,E24&lt;&gt;"",E25&lt;&gt;"",E26&lt;&gt;"")=TRUE,"OK","ERRO"))</f>
        <v/>
      </c>
      <c r="S24" s="2"/>
      <c r="AD24" s="2"/>
      <c r="AE24" s="2"/>
    </row>
    <row r="25" spans="1:31" ht="23.25">
      <c r="A25" s="110" t="s">
        <v>23</v>
      </c>
      <c r="B25" s="110"/>
      <c r="C25" s="110"/>
      <c r="D25" s="110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34"/>
      <c r="P25" s="138"/>
      <c r="Q25" s="43"/>
      <c r="R25" s="136"/>
      <c r="S25" s="2"/>
      <c r="T25" s="2"/>
      <c r="AE25" s="2"/>
    </row>
    <row r="26" spans="1:31" ht="23.25">
      <c r="A26" s="126" t="s">
        <v>17</v>
      </c>
      <c r="B26" s="126"/>
      <c r="C26" s="126"/>
      <c r="D26" s="126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34"/>
      <c r="P26" s="138"/>
      <c r="Q26" s="43"/>
      <c r="R26" s="136"/>
      <c r="S26" s="2"/>
      <c r="AD26" s="2"/>
      <c r="AE26" s="2"/>
    </row>
    <row r="27" spans="1:31" ht="15.75">
      <c r="A27" s="130" t="s">
        <v>25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2"/>
      <c r="P27" s="44"/>
      <c r="Q27" s="44"/>
      <c r="R27" s="2"/>
      <c r="S27" s="2"/>
      <c r="AD27" s="2"/>
      <c r="AE27" s="2"/>
    </row>
    <row r="28" spans="1:31" ht="23.25">
      <c r="A28" s="110" t="s">
        <v>14</v>
      </c>
      <c r="B28" s="110"/>
      <c r="C28" s="110"/>
      <c r="D28" s="110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34" t="b">
        <v>0</v>
      </c>
      <c r="P28" s="138"/>
      <c r="Q28" s="43"/>
      <c r="R28" s="136" t="str">
        <f>IF(AND(O28=FALSE,E28="",E29="",E30="")=TRUE,"",IF(AND(O28=TRUE,E28&lt;&gt;"",E29&lt;&gt;"",E30&lt;&gt;"")=TRUE,"OK","ERRO"))</f>
        <v/>
      </c>
      <c r="S28" s="2"/>
      <c r="AD28" s="2"/>
      <c r="AE28" s="2"/>
    </row>
    <row r="29" spans="1:31" ht="23.25">
      <c r="A29" s="110" t="s">
        <v>23</v>
      </c>
      <c r="B29" s="110"/>
      <c r="C29" s="110"/>
      <c r="D29" s="110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34"/>
      <c r="P29" s="138"/>
      <c r="Q29" s="43"/>
      <c r="R29" s="136"/>
      <c r="S29" s="2"/>
      <c r="T29" s="2"/>
      <c r="AE29" s="2"/>
    </row>
    <row r="30" spans="1:31" ht="23.25">
      <c r="A30" s="110" t="s">
        <v>17</v>
      </c>
      <c r="B30" s="110"/>
      <c r="C30" s="110"/>
      <c r="D30" s="110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34"/>
      <c r="P30" s="138"/>
      <c r="Q30" s="43"/>
      <c r="R30" s="136"/>
      <c r="S30" s="2"/>
      <c r="AD30" s="2"/>
      <c r="AE30" s="2"/>
    </row>
    <row r="31" spans="1:31" ht="27" customHeight="1">
      <c r="A31" s="13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P31" s="45"/>
      <c r="Q31" s="45"/>
      <c r="S31" s="2"/>
      <c r="AD31" s="2"/>
      <c r="AE31" s="2"/>
    </row>
    <row r="32" spans="1:31" ht="15.75">
      <c r="A32" s="110" t="s">
        <v>26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2"/>
      <c r="P32" s="44"/>
      <c r="Q32" s="44"/>
      <c r="R32" s="112">
        <f>COUNTIF(R34:R44,"OK")</f>
        <v>2</v>
      </c>
      <c r="S32" s="2"/>
      <c r="AD32" s="2"/>
      <c r="AE32" s="2"/>
    </row>
    <row r="33" spans="1:31" ht="15.75">
      <c r="A33" s="123" t="s">
        <v>27</v>
      </c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5"/>
      <c r="O33" s="2"/>
      <c r="P33" s="44"/>
      <c r="Q33" s="44"/>
      <c r="R33" s="112"/>
      <c r="S33" s="2"/>
      <c r="AD33" s="2"/>
      <c r="AE33" s="2"/>
    </row>
    <row r="34" spans="1:31" ht="23.25">
      <c r="A34" s="110" t="s">
        <v>14</v>
      </c>
      <c r="B34" s="110"/>
      <c r="C34" s="110"/>
      <c r="D34" s="110"/>
      <c r="E34" s="111" t="s">
        <v>139</v>
      </c>
      <c r="F34" s="111"/>
      <c r="G34" s="111"/>
      <c r="H34" s="111"/>
      <c r="I34" s="111"/>
      <c r="J34" s="111"/>
      <c r="K34" s="111"/>
      <c r="L34" s="111"/>
      <c r="M34" s="111"/>
      <c r="N34" s="111"/>
      <c r="O34" s="134" t="b">
        <v>1</v>
      </c>
      <c r="P34" s="138">
        <v>0.6</v>
      </c>
      <c r="Q34" s="43"/>
      <c r="R34" s="136" t="str">
        <f>IF(AND(O34=FALSE,E34="",E35="",E36="")=TRUE,"",IF(AND(O34=TRUE,E34&lt;&gt;"",E35&lt;&gt;"",E36&lt;&gt;"")=TRUE,"OK","ERRO"))</f>
        <v>OK</v>
      </c>
      <c r="S34" s="2"/>
      <c r="AD34" s="2"/>
      <c r="AE34" s="2"/>
    </row>
    <row r="35" spans="1:31" ht="23.25">
      <c r="A35" s="110" t="s">
        <v>23</v>
      </c>
      <c r="B35" s="110"/>
      <c r="C35" s="110"/>
      <c r="D35" s="110"/>
      <c r="E35" s="111" t="s">
        <v>140</v>
      </c>
      <c r="F35" s="111"/>
      <c r="G35" s="111"/>
      <c r="H35" s="111"/>
      <c r="I35" s="111"/>
      <c r="J35" s="111"/>
      <c r="K35" s="111"/>
      <c r="L35" s="111"/>
      <c r="M35" s="111"/>
      <c r="N35" s="111"/>
      <c r="O35" s="134"/>
      <c r="P35" s="138"/>
      <c r="Q35" s="43"/>
      <c r="R35" s="136"/>
      <c r="S35" s="2"/>
      <c r="T35" s="2"/>
      <c r="AE35" s="2"/>
    </row>
    <row r="36" spans="1:31" ht="23.25">
      <c r="A36" s="126" t="s">
        <v>17</v>
      </c>
      <c r="B36" s="126"/>
      <c r="C36" s="126"/>
      <c r="D36" s="126"/>
      <c r="E36" s="131" t="s">
        <v>138</v>
      </c>
      <c r="F36" s="132"/>
      <c r="G36" s="132"/>
      <c r="H36" s="132"/>
      <c r="I36" s="132"/>
      <c r="J36" s="132"/>
      <c r="K36" s="132"/>
      <c r="L36" s="132"/>
      <c r="M36" s="132"/>
      <c r="N36" s="133"/>
      <c r="O36" s="134"/>
      <c r="P36" s="138"/>
      <c r="Q36" s="43"/>
      <c r="R36" s="136"/>
      <c r="S36" s="2"/>
      <c r="T36" s="9"/>
      <c r="U36" s="9"/>
      <c r="V36" s="9"/>
      <c r="W36" s="9"/>
      <c r="X36" s="9"/>
      <c r="Y36" s="9"/>
      <c r="Z36" s="9"/>
      <c r="AA36" s="9"/>
      <c r="AB36" s="9"/>
      <c r="AC36" s="9"/>
      <c r="AD36" s="2"/>
      <c r="AE36" s="2"/>
    </row>
    <row r="37" spans="1:31" ht="15.75">
      <c r="A37" s="130" t="s">
        <v>24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2"/>
      <c r="P37" s="44"/>
      <c r="Q37" s="44"/>
      <c r="R37" s="2"/>
      <c r="S37" s="2"/>
      <c r="T37" s="9"/>
      <c r="U37" s="9"/>
      <c r="V37" s="9"/>
      <c r="W37" s="9"/>
      <c r="X37" s="9"/>
      <c r="Y37" s="9"/>
      <c r="Z37" s="9"/>
      <c r="AA37" s="9"/>
      <c r="AB37" s="9"/>
      <c r="AC37" s="9"/>
      <c r="AD37" s="2"/>
      <c r="AE37" s="2"/>
    </row>
    <row r="38" spans="1:31" ht="23.25">
      <c r="A38" s="110" t="s">
        <v>14</v>
      </c>
      <c r="B38" s="110"/>
      <c r="C38" s="110"/>
      <c r="D38" s="110"/>
      <c r="E38" s="116" t="s">
        <v>141</v>
      </c>
      <c r="F38" s="116"/>
      <c r="G38" s="116"/>
      <c r="H38" s="116"/>
      <c r="I38" s="116"/>
      <c r="J38" s="116"/>
      <c r="K38" s="116"/>
      <c r="L38" s="116"/>
      <c r="M38" s="116"/>
      <c r="N38" s="116"/>
      <c r="O38" s="134" t="b">
        <v>1</v>
      </c>
      <c r="P38" s="138">
        <v>0.4</v>
      </c>
      <c r="Q38" s="43"/>
      <c r="R38" s="136" t="str">
        <f>IF(AND(O38=FALSE,E38="",E39="",E40="")=TRUE,"",IF(AND(O38=TRUE,E38&lt;&gt;"",E39&lt;&gt;"",E40&lt;&gt;"")=TRUE,"OK","ERRO"))</f>
        <v>OK</v>
      </c>
      <c r="S38" s="2"/>
      <c r="T38" s="9"/>
      <c r="U38" s="9"/>
      <c r="V38" s="9"/>
      <c r="W38" s="9"/>
      <c r="X38" s="9"/>
      <c r="Y38" s="9"/>
      <c r="Z38" s="9"/>
      <c r="AA38" s="9"/>
      <c r="AB38" s="9"/>
      <c r="AC38" s="9"/>
      <c r="AD38" s="2"/>
      <c r="AE38" s="2"/>
    </row>
    <row r="39" spans="1:31" ht="23.25">
      <c r="A39" s="110" t="s">
        <v>23</v>
      </c>
      <c r="B39" s="110"/>
      <c r="C39" s="110"/>
      <c r="D39" s="110"/>
      <c r="E39" s="111" t="s">
        <v>140</v>
      </c>
      <c r="F39" s="111"/>
      <c r="G39" s="111"/>
      <c r="H39" s="111"/>
      <c r="I39" s="111"/>
      <c r="J39" s="111"/>
      <c r="K39" s="111"/>
      <c r="L39" s="111"/>
      <c r="M39" s="111"/>
      <c r="N39" s="111"/>
      <c r="O39" s="134"/>
      <c r="P39" s="138"/>
      <c r="Q39" s="43"/>
      <c r="R39" s="136"/>
      <c r="S39" s="2"/>
      <c r="T39" s="2"/>
      <c r="AE39" s="2"/>
    </row>
    <row r="40" spans="1:31" ht="23.25">
      <c r="A40" s="126" t="s">
        <v>17</v>
      </c>
      <c r="B40" s="126"/>
      <c r="C40" s="126"/>
      <c r="D40" s="126"/>
      <c r="E40" s="131" t="s">
        <v>138</v>
      </c>
      <c r="F40" s="132"/>
      <c r="G40" s="132"/>
      <c r="H40" s="132"/>
      <c r="I40" s="132"/>
      <c r="J40" s="132"/>
      <c r="K40" s="132"/>
      <c r="L40" s="132"/>
      <c r="M40" s="132"/>
      <c r="N40" s="133"/>
      <c r="O40" s="134"/>
      <c r="P40" s="138"/>
      <c r="Q40" s="43"/>
      <c r="R40" s="136"/>
      <c r="S40" s="2"/>
      <c r="T40" s="9"/>
      <c r="U40" s="9"/>
      <c r="V40" s="9"/>
      <c r="W40" s="9"/>
      <c r="X40" s="9"/>
      <c r="Y40" s="9"/>
      <c r="Z40" s="9"/>
      <c r="AA40" s="9"/>
      <c r="AB40" s="9"/>
      <c r="AC40" s="9"/>
      <c r="AD40" s="2"/>
      <c r="AE40" s="2"/>
    </row>
    <row r="41" spans="1:31" ht="15.75">
      <c r="A41" s="130" t="s">
        <v>25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2"/>
      <c r="P41" s="44"/>
      <c r="Q41" s="44"/>
      <c r="R41" s="2"/>
      <c r="S41" s="2"/>
      <c r="T41" s="9"/>
      <c r="U41" s="9"/>
      <c r="V41" s="9"/>
      <c r="W41" s="9"/>
      <c r="X41" s="9"/>
      <c r="Y41" s="9"/>
      <c r="Z41" s="9"/>
      <c r="AA41" s="9"/>
      <c r="AB41" s="9"/>
      <c r="AC41" s="9"/>
      <c r="AD41" s="2"/>
      <c r="AE41" s="2"/>
    </row>
    <row r="42" spans="1:31" ht="23.25">
      <c r="A42" s="110" t="s">
        <v>14</v>
      </c>
      <c r="B42" s="110"/>
      <c r="C42" s="110"/>
      <c r="D42" s="110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34"/>
      <c r="P42" s="138"/>
      <c r="Q42" s="43"/>
      <c r="R42" s="136" t="str">
        <f>IF(AND(O42=FALSE,E42="",E43="",E44="")=TRUE,"",IF(AND(O42=TRUE,E42&lt;&gt;"",E43&lt;&gt;"",E44&lt;&gt;"")=TRUE,"OK","ERRO"))</f>
        <v/>
      </c>
      <c r="S42" s="2"/>
      <c r="T42" s="9"/>
      <c r="U42" s="9"/>
      <c r="V42" s="9"/>
      <c r="W42" s="9"/>
      <c r="X42" s="9"/>
      <c r="Y42" s="9"/>
      <c r="Z42" s="9"/>
      <c r="AA42" s="9"/>
      <c r="AB42" s="9"/>
      <c r="AC42" s="9"/>
      <c r="AD42" s="2"/>
      <c r="AE42" s="2"/>
    </row>
    <row r="43" spans="1:31" ht="23.25">
      <c r="A43" s="110" t="s">
        <v>23</v>
      </c>
      <c r="B43" s="110"/>
      <c r="C43" s="110"/>
      <c r="D43" s="110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34"/>
      <c r="P43" s="138"/>
      <c r="Q43" s="43"/>
      <c r="R43" s="136"/>
      <c r="S43" s="2"/>
      <c r="T43" s="2"/>
      <c r="AE43" s="2"/>
    </row>
    <row r="44" spans="1:31" ht="23.25">
      <c r="A44" s="110" t="s">
        <v>17</v>
      </c>
      <c r="B44" s="110"/>
      <c r="C44" s="110"/>
      <c r="D44" s="110"/>
      <c r="E44" s="117"/>
      <c r="F44" s="118"/>
      <c r="G44" s="118"/>
      <c r="H44" s="118"/>
      <c r="I44" s="118"/>
      <c r="J44" s="118"/>
      <c r="K44" s="118"/>
      <c r="L44" s="118"/>
      <c r="M44" s="118"/>
      <c r="N44" s="119"/>
      <c r="O44" s="134"/>
      <c r="P44" s="138"/>
      <c r="Q44" s="43"/>
      <c r="R44" s="136"/>
      <c r="S44" s="2"/>
      <c r="T44" s="9"/>
      <c r="U44" s="9"/>
      <c r="V44" s="9"/>
      <c r="W44" s="9"/>
      <c r="X44" s="9"/>
      <c r="Y44" s="9"/>
      <c r="Z44" s="9"/>
      <c r="AA44" s="9"/>
      <c r="AB44" s="9"/>
      <c r="AC44" s="9"/>
      <c r="AD44" s="2"/>
      <c r="AE44" s="2"/>
    </row>
    <row r="45" spans="1:31" ht="15.75">
      <c r="A45" s="130" t="s">
        <v>28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2"/>
      <c r="P45" s="44"/>
      <c r="Q45" s="44"/>
      <c r="R45" s="2"/>
      <c r="S45" s="2"/>
      <c r="T45" s="128"/>
      <c r="U45" s="128"/>
      <c r="V45" s="128"/>
      <c r="W45" s="128"/>
      <c r="X45" s="128"/>
      <c r="Y45" s="128"/>
      <c r="Z45" s="129"/>
      <c r="AA45" s="129"/>
      <c r="AB45" s="129"/>
      <c r="AC45" s="18"/>
      <c r="AD45" s="2"/>
      <c r="AE45" s="2"/>
    </row>
    <row r="46" spans="1:31" ht="23.25">
      <c r="A46" s="110" t="s">
        <v>14</v>
      </c>
      <c r="B46" s="110"/>
      <c r="C46" s="110"/>
      <c r="D46" s="110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34" t="b">
        <v>0</v>
      </c>
      <c r="P46" s="138"/>
      <c r="Q46" s="43"/>
      <c r="R46" s="136" t="str">
        <f>IF(AND(O46=FALSE,E46="",E47="",E48="")=TRUE,"",IF(AND(O46=TRUE,E46&lt;&gt;"",E47&lt;&gt;"",E48&lt;&gt;"")=TRUE,"OK","ERRO"))</f>
        <v/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23.25">
      <c r="A47" s="110" t="s">
        <v>23</v>
      </c>
      <c r="B47" s="110"/>
      <c r="C47" s="110"/>
      <c r="D47" s="110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34"/>
      <c r="P47" s="138"/>
      <c r="Q47" s="43"/>
      <c r="R47" s="136"/>
      <c r="S47" s="2"/>
      <c r="T47" s="2"/>
      <c r="AE47" s="2"/>
    </row>
    <row r="48" spans="1:31" ht="23.25">
      <c r="A48" s="110" t="s">
        <v>17</v>
      </c>
      <c r="B48" s="110"/>
      <c r="C48" s="110"/>
      <c r="D48" s="110"/>
      <c r="E48" s="117"/>
      <c r="F48" s="118"/>
      <c r="G48" s="118"/>
      <c r="H48" s="118"/>
      <c r="I48" s="118"/>
      <c r="J48" s="118"/>
      <c r="K48" s="118"/>
      <c r="L48" s="118"/>
      <c r="M48" s="118"/>
      <c r="N48" s="119"/>
      <c r="O48" s="134"/>
      <c r="P48" s="138"/>
      <c r="Q48" s="43"/>
      <c r="R48" s="136"/>
      <c r="S48" s="2"/>
    </row>
    <row r="49" spans="1:31" ht="27" customHeight="1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P49" s="45"/>
      <c r="Q49" s="45"/>
      <c r="S49" s="2"/>
    </row>
    <row r="50" spans="1:31" ht="15.75">
      <c r="A50" s="110" t="s">
        <v>29</v>
      </c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2"/>
      <c r="P50" s="141" t="s">
        <v>30</v>
      </c>
      <c r="R50" s="2"/>
      <c r="S50" s="2"/>
    </row>
    <row r="51" spans="1:31" ht="15.75">
      <c r="A51" s="130" t="str">
        <f>"Aditivo 01"&amp;IF(P52=FALSE," - em Volume"," - em Massa")</f>
        <v>Aditivo 01 - em Volume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2"/>
      <c r="P51" s="141"/>
      <c r="R51" s="2"/>
      <c r="S51" s="2"/>
    </row>
    <row r="52" spans="1:31" ht="15.75" customHeight="1">
      <c r="A52" s="110" t="s">
        <v>31</v>
      </c>
      <c r="B52" s="110"/>
      <c r="C52" s="110"/>
      <c r="D52" s="110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34" t="b">
        <v>0</v>
      </c>
      <c r="P52" s="142" t="b">
        <v>0</v>
      </c>
      <c r="R52" s="136" t="str">
        <f>IF(AND(O52=FALSE,E52="",E53="",E54="",L54="")=TRUE,"",IF(AND(O52=TRUE,E52&lt;&gt;"",E53&lt;&gt;"",E54&lt;&gt;"",L54&lt;&gt;"")=TRUE,"OK","ERRO"))</f>
        <v/>
      </c>
      <c r="S52" s="2"/>
    </row>
    <row r="53" spans="1:31" ht="15.75" customHeight="1">
      <c r="A53" s="110" t="s">
        <v>15</v>
      </c>
      <c r="B53" s="110"/>
      <c r="C53" s="110"/>
      <c r="D53" s="110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34"/>
      <c r="P53" s="142"/>
      <c r="R53" s="136"/>
      <c r="S53" s="2"/>
    </row>
    <row r="54" spans="1:31" ht="15.75" customHeight="1">
      <c r="A54" s="120" t="s">
        <v>32</v>
      </c>
      <c r="B54" s="121"/>
      <c r="C54" s="121"/>
      <c r="D54" s="122"/>
      <c r="E54" s="135"/>
      <c r="F54" s="135"/>
      <c r="G54" s="135"/>
      <c r="H54" s="110" t="s">
        <v>33</v>
      </c>
      <c r="I54" s="110"/>
      <c r="J54" s="110"/>
      <c r="K54" s="110"/>
      <c r="L54" s="111"/>
      <c r="M54" s="111"/>
      <c r="N54" s="111"/>
      <c r="O54" s="134"/>
      <c r="P54" s="142"/>
      <c r="R54" s="136"/>
      <c r="S54" s="2"/>
    </row>
    <row r="55" spans="1:31" ht="15.75">
      <c r="A55" s="130" t="str">
        <f>"Aditivo 02"&amp;IF(P56=FALSE," - em Volume"," - em Massa")</f>
        <v>Aditivo 02 - em Volume</v>
      </c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2"/>
      <c r="P55" s="44"/>
      <c r="R55" s="2"/>
      <c r="S55" s="2"/>
    </row>
    <row r="56" spans="1:31" ht="15.75" customHeight="1">
      <c r="A56" s="110" t="s">
        <v>31</v>
      </c>
      <c r="B56" s="110"/>
      <c r="C56" s="110"/>
      <c r="D56" s="110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34" t="b">
        <v>0</v>
      </c>
      <c r="P56" s="142" t="b">
        <v>0</v>
      </c>
      <c r="R56" s="136" t="str">
        <f>IF(AND(O56=FALSE,E56="",E57="",E58="",L58="")=TRUE,"",IF(AND(O56=TRUE,E56&lt;&gt;"",E57&lt;&gt;"",E58&lt;&gt;"",L58&lt;&gt;"")=TRUE,"OK","ERRO"))</f>
        <v/>
      </c>
      <c r="S56" s="2"/>
    </row>
    <row r="57" spans="1:31" ht="15.75" customHeight="1">
      <c r="A57" s="110" t="s">
        <v>15</v>
      </c>
      <c r="B57" s="110"/>
      <c r="C57" s="110"/>
      <c r="D57" s="110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34"/>
      <c r="P57" s="142"/>
      <c r="R57" s="136"/>
      <c r="S57" s="19"/>
    </row>
    <row r="58" spans="1:31" ht="15.75" customHeight="1">
      <c r="A58" s="120" t="s">
        <v>32</v>
      </c>
      <c r="B58" s="121"/>
      <c r="C58" s="121"/>
      <c r="D58" s="122"/>
      <c r="E58" s="135"/>
      <c r="F58" s="135"/>
      <c r="G58" s="135"/>
      <c r="H58" s="110" t="s">
        <v>33</v>
      </c>
      <c r="I58" s="110"/>
      <c r="J58" s="110"/>
      <c r="K58" s="110"/>
      <c r="L58" s="111"/>
      <c r="M58" s="111"/>
      <c r="N58" s="111"/>
      <c r="O58" s="134"/>
      <c r="P58" s="142"/>
      <c r="R58" s="136"/>
      <c r="S58" s="19"/>
    </row>
    <row r="59" spans="1:31" ht="15.75">
      <c r="A59" s="130" t="str">
        <f>"Aditivo 03"&amp;IF(P60=FALSE," - em Volume"," - em Massa")</f>
        <v>Aditivo 03 - em Volume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9"/>
      <c r="P59" s="46"/>
      <c r="R59" s="19"/>
      <c r="S59" s="19"/>
    </row>
    <row r="60" spans="1:31" ht="15.75" customHeight="1">
      <c r="A60" s="110" t="s">
        <v>31</v>
      </c>
      <c r="B60" s="110"/>
      <c r="C60" s="110"/>
      <c r="D60" s="110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34" t="b">
        <v>0</v>
      </c>
      <c r="P60" s="142" t="b">
        <v>0</v>
      </c>
      <c r="R60" s="136" t="str">
        <f>IF(AND(O60=FALSE,E60="",E61="",E62="",L62="")=TRUE,"",IF(AND(O60=TRUE,E60&lt;&gt;"",E61&lt;&gt;"",E62&lt;&gt;"",L62&lt;&gt;"")=TRUE,"OK","ERRO"))</f>
        <v/>
      </c>
      <c r="S60" s="19"/>
    </row>
    <row r="61" spans="1:31" ht="15.75" customHeight="1">
      <c r="A61" s="110" t="s">
        <v>15</v>
      </c>
      <c r="B61" s="110"/>
      <c r="C61" s="110"/>
      <c r="D61" s="110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34"/>
      <c r="P61" s="142"/>
      <c r="R61" s="136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</row>
    <row r="62" spans="1:31" ht="15.75" customHeight="1">
      <c r="A62" s="120" t="s">
        <v>32</v>
      </c>
      <c r="B62" s="121"/>
      <c r="C62" s="121"/>
      <c r="D62" s="122"/>
      <c r="E62" s="135"/>
      <c r="F62" s="135"/>
      <c r="G62" s="135"/>
      <c r="H62" s="110" t="s">
        <v>33</v>
      </c>
      <c r="I62" s="110"/>
      <c r="J62" s="110"/>
      <c r="K62" s="110"/>
      <c r="L62" s="111"/>
      <c r="M62" s="111"/>
      <c r="N62" s="111"/>
      <c r="O62" s="134"/>
      <c r="P62" s="142"/>
      <c r="R62" s="136"/>
    </row>
    <row r="63" spans="1:31" ht="15.75">
      <c r="A63" s="130" t="str">
        <f>"Aditivo 04"&amp;IF(P64=FALSE," - em Volume"," - em Massa")</f>
        <v>Aditivo 04 - em Volume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9"/>
      <c r="P63" s="46"/>
      <c r="R63" s="19"/>
    </row>
    <row r="64" spans="1:31" ht="15.75" customHeight="1">
      <c r="A64" s="110" t="s">
        <v>31</v>
      </c>
      <c r="B64" s="110"/>
      <c r="C64" s="110"/>
      <c r="D64" s="110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34" t="b">
        <v>0</v>
      </c>
      <c r="P64" s="142" t="b">
        <v>0</v>
      </c>
      <c r="R64" s="136" t="str">
        <f>IF(AND(O64=FALSE,E64="",E65="",E66="",L66="")=TRUE,"",IF(AND(O64=TRUE,E64&lt;&gt;"",E65&lt;&gt;"",E66&lt;&gt;"",L66&lt;&gt;"")=TRUE,"OK","ERRO"))</f>
        <v/>
      </c>
    </row>
    <row r="65" spans="1:18" ht="15.75" customHeight="1">
      <c r="A65" s="110" t="s">
        <v>15</v>
      </c>
      <c r="B65" s="110"/>
      <c r="C65" s="110"/>
      <c r="D65" s="110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34"/>
      <c r="P65" s="142"/>
      <c r="R65" s="136"/>
    </row>
    <row r="66" spans="1:18" ht="15.75" customHeight="1">
      <c r="A66" s="120" t="s">
        <v>32</v>
      </c>
      <c r="B66" s="121"/>
      <c r="C66" s="121"/>
      <c r="D66" s="122"/>
      <c r="E66" s="135"/>
      <c r="F66" s="135"/>
      <c r="G66" s="135"/>
      <c r="H66" s="110" t="s">
        <v>33</v>
      </c>
      <c r="I66" s="110"/>
      <c r="J66" s="110"/>
      <c r="K66" s="110"/>
      <c r="L66" s="111"/>
      <c r="M66" s="111"/>
      <c r="N66" s="111"/>
      <c r="O66" s="134"/>
      <c r="P66" s="142"/>
      <c r="R66" s="136"/>
    </row>
    <row r="67" spans="1:18" ht="27" customHeight="1">
      <c r="A67" s="120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2"/>
      <c r="P67" s="44"/>
      <c r="R67" s="2"/>
    </row>
    <row r="68" spans="1:18" ht="15.75">
      <c r="A68" s="120" t="s">
        <v>34</v>
      </c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2"/>
      <c r="O68" s="2"/>
      <c r="P68" s="141" t="s">
        <v>30</v>
      </c>
      <c r="R68" s="2"/>
    </row>
    <row r="69" spans="1:18" ht="15.75">
      <c r="A69" s="130" t="s">
        <v>35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2"/>
      <c r="P69" s="141"/>
      <c r="R69" s="2"/>
    </row>
    <row r="70" spans="1:18" ht="15.75" customHeight="1">
      <c r="A70" s="110" t="s">
        <v>31</v>
      </c>
      <c r="B70" s="110"/>
      <c r="C70" s="110"/>
      <c r="D70" s="110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34" t="b">
        <v>0</v>
      </c>
      <c r="P70" s="142" t="b">
        <v>0</v>
      </c>
      <c r="R70" s="136" t="str">
        <f>IF(AND(O70=FALSE,E70="",E71="",E72="",L72="")=TRUE,"",IF(AND(O70=TRUE,E70&lt;&gt;"",E71&lt;&gt;"",E72&lt;&gt;"",L72&lt;&gt;"")=TRUE,"OK","ERRO"))</f>
        <v/>
      </c>
    </row>
    <row r="71" spans="1:18" ht="15.75" customHeight="1">
      <c r="A71" s="110" t="s">
        <v>15</v>
      </c>
      <c r="B71" s="110"/>
      <c r="C71" s="110"/>
      <c r="D71" s="110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34"/>
      <c r="P71" s="142"/>
      <c r="R71" s="136"/>
    </row>
    <row r="72" spans="1:18" ht="15.75" customHeight="1">
      <c r="A72" s="120" t="s">
        <v>32</v>
      </c>
      <c r="B72" s="121"/>
      <c r="C72" s="121"/>
      <c r="D72" s="122"/>
      <c r="E72" s="135"/>
      <c r="F72" s="135"/>
      <c r="G72" s="135"/>
      <c r="H72" s="110" t="s">
        <v>33</v>
      </c>
      <c r="I72" s="110"/>
      <c r="J72" s="110"/>
      <c r="K72" s="110"/>
      <c r="L72" s="111"/>
      <c r="M72" s="111"/>
      <c r="N72" s="111"/>
      <c r="O72" s="134"/>
      <c r="P72" s="142"/>
      <c r="R72" s="136"/>
    </row>
    <row r="73" spans="1:18" ht="15.75">
      <c r="A73" s="130" t="s">
        <v>36</v>
      </c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2"/>
      <c r="P73" s="44"/>
      <c r="R73" s="2"/>
    </row>
    <row r="74" spans="1:18" ht="15.75" customHeight="1">
      <c r="A74" s="110" t="s">
        <v>31</v>
      </c>
      <c r="B74" s="110"/>
      <c r="C74" s="110"/>
      <c r="D74" s="110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34" t="b">
        <v>0</v>
      </c>
      <c r="P74" s="142" t="b">
        <v>0</v>
      </c>
      <c r="R74" s="136" t="str">
        <f>IF(AND(O74=FALSE,E74="",E75="",E76="",L76="")=TRUE,"",IF(AND(O74=TRUE,E74&lt;&gt;"",E75&lt;&gt;"",E76&lt;&gt;"",L76&lt;&gt;"")=TRUE,"OK","ERRO"))</f>
        <v/>
      </c>
    </row>
    <row r="75" spans="1:18" ht="15.75" customHeight="1">
      <c r="A75" s="110" t="s">
        <v>15</v>
      </c>
      <c r="B75" s="110"/>
      <c r="C75" s="110"/>
      <c r="D75" s="110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34"/>
      <c r="P75" s="142"/>
      <c r="R75" s="136"/>
    </row>
    <row r="76" spans="1:18" ht="15.75" customHeight="1">
      <c r="A76" s="120" t="s">
        <v>32</v>
      </c>
      <c r="B76" s="121"/>
      <c r="C76" s="121"/>
      <c r="D76" s="122"/>
      <c r="E76" s="135"/>
      <c r="F76" s="135"/>
      <c r="G76" s="135"/>
      <c r="H76" s="110" t="s">
        <v>33</v>
      </c>
      <c r="I76" s="110"/>
      <c r="J76" s="110"/>
      <c r="K76" s="110"/>
      <c r="L76" s="111"/>
      <c r="M76" s="111"/>
      <c r="N76" s="111"/>
      <c r="O76" s="134"/>
      <c r="P76" s="142"/>
      <c r="R76" s="136"/>
    </row>
    <row r="77" spans="1:18" ht="15.75">
      <c r="A77" s="130" t="s">
        <v>37</v>
      </c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9"/>
      <c r="P77" s="46"/>
      <c r="R77" s="19"/>
    </row>
    <row r="78" spans="1:18" ht="15.75" customHeight="1">
      <c r="A78" s="110" t="s">
        <v>31</v>
      </c>
      <c r="B78" s="110"/>
      <c r="C78" s="110"/>
      <c r="D78" s="110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34" t="b">
        <v>0</v>
      </c>
      <c r="P78" s="142" t="b">
        <v>0</v>
      </c>
      <c r="R78" s="136" t="str">
        <f>IF(AND(O78=FALSE,E78="",E79="",E80="",L80="")=TRUE,"",IF(AND(O78=TRUE,E78&lt;&gt;"",E79&lt;&gt;"",E80&lt;&gt;"",L80&lt;&gt;"")=TRUE,"OK","ERRO"))</f>
        <v/>
      </c>
    </row>
    <row r="79" spans="1:18" ht="15.75" customHeight="1">
      <c r="A79" s="110" t="s">
        <v>15</v>
      </c>
      <c r="B79" s="110"/>
      <c r="C79" s="110"/>
      <c r="D79" s="110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34"/>
      <c r="P79" s="142"/>
      <c r="R79" s="136"/>
    </row>
    <row r="80" spans="1:18" ht="15.75" customHeight="1">
      <c r="A80" s="120" t="s">
        <v>32</v>
      </c>
      <c r="B80" s="121"/>
      <c r="C80" s="121"/>
      <c r="D80" s="122"/>
      <c r="E80" s="135"/>
      <c r="F80" s="135"/>
      <c r="G80" s="135"/>
      <c r="H80" s="110" t="s">
        <v>33</v>
      </c>
      <c r="I80" s="110"/>
      <c r="J80" s="110"/>
      <c r="K80" s="110"/>
      <c r="L80" s="111"/>
      <c r="M80" s="111"/>
      <c r="N80" s="111"/>
      <c r="O80" s="134"/>
      <c r="P80" s="142"/>
      <c r="R80" s="136"/>
    </row>
    <row r="81" spans="1:18" ht="15.75">
      <c r="A81" s="130" t="s">
        <v>38</v>
      </c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P81" s="45"/>
    </row>
    <row r="82" spans="1:18" ht="15.75" customHeight="1">
      <c r="A82" s="110" t="s">
        <v>31</v>
      </c>
      <c r="B82" s="110"/>
      <c r="C82" s="110"/>
      <c r="D82" s="110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34" t="b">
        <v>0</v>
      </c>
      <c r="P82" s="142" t="b">
        <v>0</v>
      </c>
      <c r="R82" s="136" t="str">
        <f>IF(AND(O82=FALSE,E82="",E83="",E84="",L84="")=TRUE,"",IF(AND(O82=TRUE,E82&lt;&gt;"",E83&lt;&gt;"",E84&lt;&gt;"",L84&lt;&gt;"")=TRUE,"OK","ERRO"))</f>
        <v/>
      </c>
    </row>
    <row r="83" spans="1:18" ht="15.75" customHeight="1">
      <c r="A83" s="110" t="s">
        <v>15</v>
      </c>
      <c r="B83" s="110"/>
      <c r="C83" s="110"/>
      <c r="D83" s="110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34"/>
      <c r="P83" s="142"/>
      <c r="R83" s="136"/>
    </row>
    <row r="84" spans="1:18" ht="15.75" customHeight="1">
      <c r="A84" s="120" t="s">
        <v>32</v>
      </c>
      <c r="B84" s="121"/>
      <c r="C84" s="121"/>
      <c r="D84" s="122"/>
      <c r="E84" s="135"/>
      <c r="F84" s="135"/>
      <c r="G84" s="135"/>
      <c r="H84" s="110" t="s">
        <v>33</v>
      </c>
      <c r="I84" s="110"/>
      <c r="J84" s="110"/>
      <c r="K84" s="110"/>
      <c r="L84" s="111"/>
      <c r="M84" s="111"/>
      <c r="N84" s="111"/>
      <c r="O84" s="134"/>
      <c r="P84" s="142"/>
      <c r="R84" s="136"/>
    </row>
  </sheetData>
  <mergeCells count="215">
    <mergeCell ref="P50:P51"/>
    <mergeCell ref="P52:P54"/>
    <mergeCell ref="P56:P58"/>
    <mergeCell ref="P60:P62"/>
    <mergeCell ref="P64:P66"/>
    <mergeCell ref="P70:P72"/>
    <mergeCell ref="P74:P76"/>
    <mergeCell ref="P78:P80"/>
    <mergeCell ref="P82:P84"/>
    <mergeCell ref="P68:P69"/>
    <mergeCell ref="P4:P5"/>
    <mergeCell ref="P6:P8"/>
    <mergeCell ref="P10:P12"/>
    <mergeCell ref="P14:P16"/>
    <mergeCell ref="P20:P22"/>
    <mergeCell ref="P24:P26"/>
    <mergeCell ref="P28:P30"/>
    <mergeCell ref="P34:P36"/>
    <mergeCell ref="P38:P40"/>
    <mergeCell ref="P42:P44"/>
    <mergeCell ref="P46:P48"/>
    <mergeCell ref="R82:R84"/>
    <mergeCell ref="O82:O84"/>
    <mergeCell ref="A17:N17"/>
    <mergeCell ref="A3:N3"/>
    <mergeCell ref="A31:N31"/>
    <mergeCell ref="A49:N49"/>
    <mergeCell ref="A67:N67"/>
    <mergeCell ref="A81:N81"/>
    <mergeCell ref="A82:D82"/>
    <mergeCell ref="E82:N82"/>
    <mergeCell ref="A83:D83"/>
    <mergeCell ref="E83:N83"/>
    <mergeCell ref="A84:D84"/>
    <mergeCell ref="E84:G84"/>
    <mergeCell ref="H84:K84"/>
    <mergeCell ref="L84:N84"/>
    <mergeCell ref="R46:R48"/>
    <mergeCell ref="R52:R54"/>
    <mergeCell ref="R56:R58"/>
    <mergeCell ref="R60:R62"/>
    <mergeCell ref="R70:R72"/>
    <mergeCell ref="R74:R76"/>
    <mergeCell ref="R78:R80"/>
    <mergeCell ref="R64:R66"/>
    <mergeCell ref="R6:R8"/>
    <mergeCell ref="R10:R12"/>
    <mergeCell ref="R14:R16"/>
    <mergeCell ref="R20:R22"/>
    <mergeCell ref="R24:R26"/>
    <mergeCell ref="R28:R30"/>
    <mergeCell ref="R34:R36"/>
    <mergeCell ref="R38:R40"/>
    <mergeCell ref="R42:R44"/>
    <mergeCell ref="O74:O76"/>
    <mergeCell ref="O78:O80"/>
    <mergeCell ref="E72:G72"/>
    <mergeCell ref="H72:K72"/>
    <mergeCell ref="L72:N72"/>
    <mergeCell ref="E76:G76"/>
    <mergeCell ref="H76:K76"/>
    <mergeCell ref="L76:N76"/>
    <mergeCell ref="E80:G80"/>
    <mergeCell ref="H80:K80"/>
    <mergeCell ref="L80:N80"/>
    <mergeCell ref="A47:D47"/>
    <mergeCell ref="E47:N47"/>
    <mergeCell ref="O20:O22"/>
    <mergeCell ref="O24:O26"/>
    <mergeCell ref="O28:O30"/>
    <mergeCell ref="O34:O36"/>
    <mergeCell ref="O38:O40"/>
    <mergeCell ref="O42:O44"/>
    <mergeCell ref="O46:O48"/>
    <mergeCell ref="A23:N23"/>
    <mergeCell ref="A30:D30"/>
    <mergeCell ref="E30:N30"/>
    <mergeCell ref="A33:N33"/>
    <mergeCell ref="A20:D20"/>
    <mergeCell ref="E20:N20"/>
    <mergeCell ref="A34:D34"/>
    <mergeCell ref="E34:N34"/>
    <mergeCell ref="A65:D65"/>
    <mergeCell ref="E65:N65"/>
    <mergeCell ref="O6:O8"/>
    <mergeCell ref="O10:O12"/>
    <mergeCell ref="O14:O16"/>
    <mergeCell ref="A21:D21"/>
    <mergeCell ref="E21:N21"/>
    <mergeCell ref="A25:D25"/>
    <mergeCell ref="E25:N25"/>
    <mergeCell ref="A61:D61"/>
    <mergeCell ref="E61:N61"/>
    <mergeCell ref="A57:D57"/>
    <mergeCell ref="E57:N57"/>
    <mergeCell ref="A58:D58"/>
    <mergeCell ref="E58:G58"/>
    <mergeCell ref="H58:K58"/>
    <mergeCell ref="L58:N58"/>
    <mergeCell ref="A55:N55"/>
    <mergeCell ref="A56:D56"/>
    <mergeCell ref="E56:N56"/>
    <mergeCell ref="A44:D44"/>
    <mergeCell ref="E44:N44"/>
    <mergeCell ref="A26:D26"/>
    <mergeCell ref="E26:N26"/>
    <mergeCell ref="H54:K54"/>
    <mergeCell ref="L54:N54"/>
    <mergeCell ref="A79:D79"/>
    <mergeCell ref="E79:N79"/>
    <mergeCell ref="A62:D62"/>
    <mergeCell ref="E62:G62"/>
    <mergeCell ref="H62:K62"/>
    <mergeCell ref="L62:N62"/>
    <mergeCell ref="A80:D80"/>
    <mergeCell ref="A59:N59"/>
    <mergeCell ref="A77:N77"/>
    <mergeCell ref="A60:D60"/>
    <mergeCell ref="E60:N60"/>
    <mergeCell ref="A78:D78"/>
    <mergeCell ref="E78:N78"/>
    <mergeCell ref="A75:D75"/>
    <mergeCell ref="E75:N75"/>
    <mergeCell ref="A76:D76"/>
    <mergeCell ref="A73:N73"/>
    <mergeCell ref="A74:D74"/>
    <mergeCell ref="E74:N74"/>
    <mergeCell ref="A63:N63"/>
    <mergeCell ref="A64:D64"/>
    <mergeCell ref="E64:N64"/>
    <mergeCell ref="A72:D72"/>
    <mergeCell ref="O52:O54"/>
    <mergeCell ref="O56:O58"/>
    <mergeCell ref="O60:O62"/>
    <mergeCell ref="O70:O72"/>
    <mergeCell ref="O64:O66"/>
    <mergeCell ref="A50:N50"/>
    <mergeCell ref="A68:N68"/>
    <mergeCell ref="A51:N51"/>
    <mergeCell ref="A69:N69"/>
    <mergeCell ref="A52:D52"/>
    <mergeCell ref="E52:N52"/>
    <mergeCell ref="A70:D70"/>
    <mergeCell ref="E70:N70"/>
    <mergeCell ref="A66:D66"/>
    <mergeCell ref="E66:G66"/>
    <mergeCell ref="H66:K66"/>
    <mergeCell ref="L66:N66"/>
    <mergeCell ref="A53:D53"/>
    <mergeCell ref="E53:N53"/>
    <mergeCell ref="A71:D71"/>
    <mergeCell ref="E71:N71"/>
    <mergeCell ref="A54:D54"/>
    <mergeCell ref="E54:G54"/>
    <mergeCell ref="T45:Y45"/>
    <mergeCell ref="Z45:AB45"/>
    <mergeCell ref="A27:N27"/>
    <mergeCell ref="A41:N41"/>
    <mergeCell ref="A28:D28"/>
    <mergeCell ref="E28:N28"/>
    <mergeCell ref="A42:D42"/>
    <mergeCell ref="E42:N42"/>
    <mergeCell ref="A45:N45"/>
    <mergeCell ref="A29:D29"/>
    <mergeCell ref="E29:N29"/>
    <mergeCell ref="A35:D35"/>
    <mergeCell ref="E35:N35"/>
    <mergeCell ref="A39:D39"/>
    <mergeCell ref="E39:N39"/>
    <mergeCell ref="A43:D43"/>
    <mergeCell ref="E43:N43"/>
    <mergeCell ref="A38:D38"/>
    <mergeCell ref="E38:N38"/>
    <mergeCell ref="A40:D40"/>
    <mergeCell ref="E40:N40"/>
    <mergeCell ref="A36:D36"/>
    <mergeCell ref="E36:N36"/>
    <mergeCell ref="A37:N37"/>
    <mergeCell ref="A10:D10"/>
    <mergeCell ref="E10:N10"/>
    <mergeCell ref="A19:N19"/>
    <mergeCell ref="A15:D15"/>
    <mergeCell ref="E15:N15"/>
    <mergeCell ref="A16:D16"/>
    <mergeCell ref="E16:N16"/>
    <mergeCell ref="A18:N18"/>
    <mergeCell ref="A32:N32"/>
    <mergeCell ref="A24:D24"/>
    <mergeCell ref="E24:N24"/>
    <mergeCell ref="A22:D22"/>
    <mergeCell ref="E22:N22"/>
    <mergeCell ref="R4:R5"/>
    <mergeCell ref="R18:R19"/>
    <mergeCell ref="R32:R33"/>
    <mergeCell ref="A2:AE2"/>
    <mergeCell ref="A46:D46"/>
    <mergeCell ref="E46:N46"/>
    <mergeCell ref="A48:D48"/>
    <mergeCell ref="E48:N48"/>
    <mergeCell ref="A4:N4"/>
    <mergeCell ref="A5:N5"/>
    <mergeCell ref="A6:D6"/>
    <mergeCell ref="E6:N6"/>
    <mergeCell ref="A11:D11"/>
    <mergeCell ref="E11:N11"/>
    <mergeCell ref="A12:D12"/>
    <mergeCell ref="E12:N12"/>
    <mergeCell ref="A13:N13"/>
    <mergeCell ref="A14:D14"/>
    <mergeCell ref="E14:N14"/>
    <mergeCell ref="A7:D7"/>
    <mergeCell ref="E7:N7"/>
    <mergeCell ref="A8:D8"/>
    <mergeCell ref="E8:N8"/>
    <mergeCell ref="A9:N9"/>
  </mergeCells>
  <conditionalFormatting sqref="A67 H66:K66">
    <cfRule type="expression" dxfId="148" priority="182">
      <formula>#REF!=1</formula>
    </cfRule>
  </conditionalFormatting>
  <conditionalFormatting sqref="A67">
    <cfRule type="expression" dxfId="147" priority="96">
      <formula>#REF!=2</formula>
    </cfRule>
  </conditionalFormatting>
  <conditionalFormatting sqref="A74:D75">
    <cfRule type="expression" dxfId="146" priority="106">
      <formula>#REF!=1</formula>
    </cfRule>
  </conditionalFormatting>
  <conditionalFormatting sqref="A78:D79">
    <cfRule type="expression" dxfId="145" priority="104">
      <formula>#REF!=1</formula>
    </cfRule>
  </conditionalFormatting>
  <conditionalFormatting sqref="A82:D84">
    <cfRule type="expression" dxfId="144" priority="19">
      <formula>#REF!=1</formula>
    </cfRule>
  </conditionalFormatting>
  <conditionalFormatting sqref="A84:D84">
    <cfRule type="expression" dxfId="143" priority="20">
      <formula>#REF!=2</formula>
    </cfRule>
  </conditionalFormatting>
  <conditionalFormatting sqref="A66:G66">
    <cfRule type="expression" dxfId="142" priority="13">
      <formula>#REF!=1</formula>
    </cfRule>
  </conditionalFormatting>
  <conditionalFormatting sqref="A66:K66">
    <cfRule type="expression" dxfId="141" priority="14">
      <formula>#REF!=2</formula>
    </cfRule>
  </conditionalFormatting>
  <conditionalFormatting sqref="A10:N10 A11 E11 A12:N12 A14:N14 A15 E15 A16:N16">
    <cfRule type="expression" dxfId="140" priority="187">
      <formula>#REF!=1</formula>
    </cfRule>
  </conditionalFormatting>
  <conditionalFormatting sqref="A23:N23">
    <cfRule type="expression" dxfId="139" priority="192">
      <formula>#REF!=1</formula>
    </cfRule>
  </conditionalFormatting>
  <conditionalFormatting sqref="A23:N24 A26:N28 A30:N30">
    <cfRule type="expression" dxfId="138" priority="193">
      <formula>#REF!=1</formula>
    </cfRule>
  </conditionalFormatting>
  <conditionalFormatting sqref="A27:N27">
    <cfRule type="expression" dxfId="137" priority="190">
      <formula>#REF!=1</formula>
    </cfRule>
  </conditionalFormatting>
  <conditionalFormatting sqref="A37:N37 A41:N41 T36:V38 E38:N38 T40:V42 E42:N42 T44:V44">
    <cfRule type="expression" dxfId="136" priority="202">
      <formula>#REF!=1</formula>
    </cfRule>
  </conditionalFormatting>
  <conditionalFormatting sqref="A37:N37">
    <cfRule type="expression" dxfId="135" priority="201">
      <formula>#REF!=1</formula>
    </cfRule>
  </conditionalFormatting>
  <conditionalFormatting sqref="A41:N41">
    <cfRule type="expression" dxfId="134" priority="189">
      <formula>#REF!=1</formula>
    </cfRule>
  </conditionalFormatting>
  <conditionalFormatting sqref="A45:N45 E46:N46">
    <cfRule type="expression" dxfId="133" priority="113">
      <formula>#REF!=1</formula>
    </cfRule>
  </conditionalFormatting>
  <conditionalFormatting sqref="A45:N45">
    <cfRule type="expression" dxfId="132" priority="112">
      <formula>#REF!=1</formula>
    </cfRule>
  </conditionalFormatting>
  <conditionalFormatting sqref="A50:N65">
    <cfRule type="expression" dxfId="131" priority="9">
      <formula>#REF!=1</formula>
    </cfRule>
  </conditionalFormatting>
  <conditionalFormatting sqref="A54:N54">
    <cfRule type="expression" dxfId="130" priority="195">
      <formula>#REF!=2</formula>
    </cfRule>
  </conditionalFormatting>
  <conditionalFormatting sqref="A58:N58">
    <cfRule type="expression" dxfId="129" priority="12">
      <formula>#REF!=2</formula>
    </cfRule>
  </conditionalFormatting>
  <conditionalFormatting sqref="A62:N62">
    <cfRule type="expression" dxfId="128" priority="10">
      <formula>#REF!=2</formula>
    </cfRule>
  </conditionalFormatting>
  <conditionalFormatting sqref="A68:N72">
    <cfRule type="expression" dxfId="127" priority="25">
      <formula>#REF!=1</formula>
    </cfRule>
  </conditionalFormatting>
  <conditionalFormatting sqref="A72:N72">
    <cfRule type="expression" dxfId="126" priority="26">
      <formula>#REF!=2</formula>
    </cfRule>
  </conditionalFormatting>
  <conditionalFormatting sqref="A73:N73 E74:N75 A77:N77 E78:N79">
    <cfRule type="expression" dxfId="125" priority="188">
      <formula>#REF!&lt;&gt;3</formula>
    </cfRule>
  </conditionalFormatting>
  <conditionalFormatting sqref="A76:N76">
    <cfRule type="expression" dxfId="124" priority="5">
      <formula>#REF!=1</formula>
    </cfRule>
    <cfRule type="expression" dxfId="123" priority="6">
      <formula>#REF!=2</formula>
    </cfRule>
  </conditionalFormatting>
  <conditionalFormatting sqref="A80:N80">
    <cfRule type="expression" dxfId="122" priority="3">
      <formula>#REF!=1</formula>
    </cfRule>
    <cfRule type="expression" dxfId="121" priority="4">
      <formula>#REF!=2</formula>
    </cfRule>
  </conditionalFormatting>
  <conditionalFormatting sqref="A81:N81 E82:N83">
    <cfRule type="expression" dxfId="120" priority="95">
      <formula>#REF!&lt;&gt;3</formula>
    </cfRule>
  </conditionalFormatting>
  <conditionalFormatting sqref="A2:AE2">
    <cfRule type="expression" dxfId="119" priority="37">
      <formula>$S$3&gt;=2</formula>
    </cfRule>
    <cfRule type="expression" dxfId="118" priority="36" stopIfTrue="1">
      <formula>$R$3&lt;&gt;0</formula>
    </cfRule>
  </conditionalFormatting>
  <conditionalFormatting sqref="E84:N84">
    <cfRule type="expression" dxfId="117" priority="2">
      <formula>#REF!=2</formula>
    </cfRule>
    <cfRule type="expression" dxfId="116" priority="1">
      <formula>#REF!=1</formula>
    </cfRule>
  </conditionalFormatting>
  <conditionalFormatting sqref="L66:N66">
    <cfRule type="expression" dxfId="115" priority="7">
      <formula>#REF!=1</formula>
    </cfRule>
    <cfRule type="expression" dxfId="114" priority="8">
      <formula>#REF!=2</formula>
    </cfRule>
  </conditionalFormatting>
  <conditionalFormatting sqref="R6:R8">
    <cfRule type="expression" dxfId="113" priority="91">
      <formula>$R$6="ERRO"</formula>
    </cfRule>
    <cfRule type="expression" dxfId="112" priority="90">
      <formula>$R$6="OK"</formula>
    </cfRule>
  </conditionalFormatting>
  <conditionalFormatting sqref="R10:R12">
    <cfRule type="expression" dxfId="111" priority="87">
      <formula>$R$10="ERRO"</formula>
    </cfRule>
    <cfRule type="expression" dxfId="110" priority="86">
      <formula>$R$10="OK"</formula>
    </cfRule>
  </conditionalFormatting>
  <conditionalFormatting sqref="R14:R16">
    <cfRule type="expression" dxfId="109" priority="38">
      <formula>$R$14="OK"</formula>
    </cfRule>
    <cfRule type="expression" dxfId="108" priority="39">
      <formula>$R$14="ERRO"</formula>
    </cfRule>
  </conditionalFormatting>
  <conditionalFormatting sqref="R20:R22">
    <cfRule type="expression" dxfId="107" priority="82">
      <formula>$R$20="OK"</formula>
    </cfRule>
    <cfRule type="expression" dxfId="106" priority="83">
      <formula>$R$20="ERRO"</formula>
    </cfRule>
  </conditionalFormatting>
  <conditionalFormatting sqref="R24:R26">
    <cfRule type="expression" dxfId="105" priority="81">
      <formula>$R$24="ERRO"</formula>
    </cfRule>
    <cfRule type="expression" dxfId="104" priority="80">
      <formula>$R$24="OK"</formula>
    </cfRule>
  </conditionalFormatting>
  <conditionalFormatting sqref="R28:R30">
    <cfRule type="expression" dxfId="103" priority="78">
      <formula>$R$28="OK"</formula>
    </cfRule>
    <cfRule type="expression" dxfId="102" priority="79">
      <formula>$R$28="ERRO"</formula>
    </cfRule>
  </conditionalFormatting>
  <conditionalFormatting sqref="R34:R36">
    <cfRule type="expression" dxfId="101" priority="76">
      <formula>$R$34="OK"</formula>
    </cfRule>
    <cfRule type="expression" dxfId="100" priority="77">
      <formula>$R$34="ERRO"</formula>
    </cfRule>
  </conditionalFormatting>
  <conditionalFormatting sqref="R38:R40">
    <cfRule type="expression" dxfId="99" priority="74">
      <formula>$R$38="OK"</formula>
    </cfRule>
    <cfRule type="expression" dxfId="98" priority="75">
      <formula>$R$38="ERRO"</formula>
    </cfRule>
  </conditionalFormatting>
  <conditionalFormatting sqref="R42:R44">
    <cfRule type="expression" dxfId="97" priority="72">
      <formula>$R$42="OK"</formula>
    </cfRule>
    <cfRule type="expression" dxfId="96" priority="73">
      <formula>$R$42="ERRO"</formula>
    </cfRule>
  </conditionalFormatting>
  <conditionalFormatting sqref="R46:R48">
    <cfRule type="expression" dxfId="95" priority="71">
      <formula>$R$46="ERRO"</formula>
    </cfRule>
    <cfRule type="expression" dxfId="94" priority="70">
      <formula>$R$46="OK"</formula>
    </cfRule>
  </conditionalFormatting>
  <conditionalFormatting sqref="R52:R54">
    <cfRule type="expression" dxfId="93" priority="69">
      <formula>$R$52="ERRO"</formula>
    </cfRule>
    <cfRule type="expression" dxfId="92" priority="68">
      <formula>$R$52="OK"</formula>
    </cfRule>
  </conditionalFormatting>
  <conditionalFormatting sqref="R56:R58">
    <cfRule type="expression" dxfId="91" priority="53">
      <formula>$R$56="ERRO"</formula>
    </cfRule>
    <cfRule type="expression" dxfId="90" priority="52">
      <formula>$R$56="OK"</formula>
    </cfRule>
  </conditionalFormatting>
  <conditionalFormatting sqref="R60:R62">
    <cfRule type="expression" dxfId="89" priority="51">
      <formula>$R$60="ERRO"</formula>
    </cfRule>
    <cfRule type="expression" dxfId="88" priority="50">
      <formula>$R$60="OK"</formula>
    </cfRule>
  </conditionalFormatting>
  <conditionalFormatting sqref="R64:R66">
    <cfRule type="expression" dxfId="87" priority="49">
      <formula>$R$64="ERRO"</formula>
    </cfRule>
    <cfRule type="expression" dxfId="86" priority="48">
      <formula>$R$64="OK"</formula>
    </cfRule>
  </conditionalFormatting>
  <conditionalFormatting sqref="R70:R72">
    <cfRule type="expression" dxfId="85" priority="47">
      <formula>$R$70="ERRO"</formula>
    </cfRule>
    <cfRule type="expression" dxfId="84" priority="46">
      <formula>$R$70="OK"</formula>
    </cfRule>
  </conditionalFormatting>
  <conditionalFormatting sqref="R74:R76">
    <cfRule type="expression" dxfId="83" priority="45">
      <formula>$R$74="ERRO"</formula>
    </cfRule>
    <cfRule type="expression" dxfId="82" priority="44">
      <formula>$R$74="OK"</formula>
    </cfRule>
  </conditionalFormatting>
  <conditionalFormatting sqref="R78:R80">
    <cfRule type="expression" dxfId="81" priority="43">
      <formula>$R$78="ERRO"</formula>
    </cfRule>
    <cfRule type="expression" dxfId="80" priority="42">
      <formula>$R$78="OK"</formula>
    </cfRule>
  </conditionalFormatting>
  <conditionalFormatting sqref="R82:R84">
    <cfRule type="expression" dxfId="79" priority="40">
      <formula>$R$82="OK"</formula>
    </cfRule>
    <cfRule type="expression" dxfId="78" priority="41">
      <formula>$R$82="ERRO"</formula>
    </cfRule>
  </conditionalFormatting>
  <conditionalFormatting sqref="T45:Y45">
    <cfRule type="expression" dxfId="77" priority="200">
      <formula>AND(#REF!=2,#REF!=1)</formula>
    </cfRule>
  </conditionalFormatting>
  <conditionalFormatting sqref="Z45:AB45">
    <cfRule type="expression" dxfId="76" priority="208">
      <formula>AND(#REF!=2,#REF!=1)</formula>
    </cfRule>
  </conditionalFormatting>
  <conditionalFormatting sqref="AC45">
    <cfRule type="expression" dxfId="75" priority="209">
      <formula>AND(#REF!=2,#REF!=1)</formula>
    </cfRule>
  </conditionalFormatting>
  <pageMargins left="0.511811024" right="0.511811024" top="0.78740157499999996" bottom="0.78740157499999996" header="0.31496062000000002" footer="0.31496062000000002"/>
  <pageSetup paperSize="9" scale="3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4664-6538-406C-968D-71B136950F0C}">
  <sheetPr codeName="Planilha2"/>
  <dimension ref="A1:AG40"/>
  <sheetViews>
    <sheetView view="pageBreakPreview" zoomScale="85" zoomScaleNormal="70" zoomScaleSheetLayoutView="85" workbookViewId="0">
      <selection activeCell="P8" sqref="P8:R9"/>
    </sheetView>
  </sheetViews>
  <sheetFormatPr defaultRowHeight="14.25"/>
  <cols>
    <col min="16" max="16" width="10" bestFit="1" customWidth="1"/>
  </cols>
  <sheetData>
    <row r="1" spans="1:33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  <c r="AG1" s="2"/>
    </row>
    <row r="2" spans="1:33" ht="48" customHeight="1">
      <c r="A2" s="161" t="s">
        <v>39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</row>
    <row r="3" spans="1:33" ht="15.75">
      <c r="A3" s="162" t="s">
        <v>40</v>
      </c>
      <c r="B3" s="163"/>
      <c r="C3" s="163"/>
      <c r="D3" s="166">
        <v>120</v>
      </c>
      <c r="E3" s="167"/>
      <c r="F3" s="170" t="b">
        <v>0</v>
      </c>
      <c r="G3" s="171"/>
      <c r="H3" s="172"/>
      <c r="I3" s="170" t="b">
        <v>1</v>
      </c>
      <c r="J3" s="171"/>
      <c r="K3" s="172"/>
      <c r="L3" s="176" t="b">
        <v>0</v>
      </c>
      <c r="M3" s="177"/>
      <c r="N3" s="178"/>
      <c r="O3" s="3">
        <f>IF(D3&lt;&gt;"",1,0)</f>
        <v>1</v>
      </c>
      <c r="P3" s="3">
        <f>IF(F3=TRUE,1,0)</f>
        <v>0</v>
      </c>
      <c r="Q3" s="3">
        <f>IF(I3=TRUE,1,0)</f>
        <v>1</v>
      </c>
      <c r="R3" s="3">
        <f>IF(L3=TRUE,1,0)</f>
        <v>0</v>
      </c>
      <c r="S3" s="3">
        <f>SUM(P3:R3)</f>
        <v>1</v>
      </c>
      <c r="T3" s="4" t="str">
        <f>IF(AND(S3=1,O3=1,AG8="OK")=TRUE,"OK","ERRO")</f>
        <v>OK</v>
      </c>
      <c r="U3" s="4"/>
      <c r="V3" s="3"/>
      <c r="W3" s="3"/>
      <c r="X3" s="4"/>
      <c r="Y3" s="5"/>
      <c r="Z3" s="5"/>
      <c r="AA3" s="5"/>
      <c r="AB3" s="5"/>
      <c r="AC3" s="4"/>
      <c r="AD3" s="4"/>
      <c r="AE3" s="4"/>
      <c r="AF3" s="5"/>
      <c r="AG3" s="6"/>
    </row>
    <row r="4" spans="1:33" ht="15.75">
      <c r="A4" s="164"/>
      <c r="B4" s="165"/>
      <c r="C4" s="165"/>
      <c r="D4" s="168"/>
      <c r="E4" s="169"/>
      <c r="F4" s="173"/>
      <c r="G4" s="174"/>
      <c r="H4" s="175"/>
      <c r="I4" s="173"/>
      <c r="J4" s="174"/>
      <c r="K4" s="175"/>
      <c r="L4" s="179"/>
      <c r="M4" s="180"/>
      <c r="N4" s="181"/>
      <c r="O4" s="7"/>
      <c r="P4" s="7"/>
      <c r="Q4" s="7"/>
      <c r="R4" s="7"/>
      <c r="S4" s="7"/>
      <c r="T4" s="7"/>
      <c r="U4" s="7"/>
      <c r="V4" s="7"/>
      <c r="W4" s="7"/>
      <c r="X4" s="1"/>
      <c r="Y4" s="2"/>
      <c r="Z4" s="2"/>
      <c r="AA4" s="2"/>
      <c r="AB4" s="2"/>
      <c r="AC4" s="1"/>
      <c r="AD4" s="1"/>
      <c r="AE4" s="1"/>
      <c r="AF4" s="2"/>
      <c r="AG4" s="8"/>
    </row>
    <row r="5" spans="1:33" ht="15.75">
      <c r="A5" s="23"/>
      <c r="B5" s="24"/>
      <c r="C5" s="24"/>
      <c r="D5" s="17"/>
      <c r="E5" s="17"/>
      <c r="F5" s="24"/>
      <c r="G5" s="24"/>
      <c r="H5" s="24"/>
      <c r="I5" s="2"/>
      <c r="J5" s="24"/>
      <c r="K5" s="24"/>
      <c r="L5" s="24"/>
      <c r="M5" s="24"/>
      <c r="N5" s="24"/>
      <c r="O5" s="24"/>
      <c r="P5" s="24"/>
      <c r="Q5" s="24"/>
      <c r="R5" s="24"/>
      <c r="S5" s="24"/>
      <c r="T5" s="2"/>
      <c r="U5" s="2"/>
      <c r="V5" s="22"/>
      <c r="W5" s="22"/>
      <c r="X5" s="22"/>
      <c r="Y5" s="22"/>
      <c r="Z5" s="22"/>
      <c r="AA5" s="1"/>
      <c r="AB5" s="2"/>
      <c r="AC5" s="1"/>
      <c r="AD5" s="1"/>
      <c r="AE5" s="1"/>
      <c r="AF5" s="2"/>
      <c r="AG5" s="8"/>
    </row>
    <row r="6" spans="1:33" ht="15.75">
      <c r="A6" s="23"/>
      <c r="B6" s="24"/>
      <c r="C6" s="24"/>
      <c r="D6" s="17"/>
      <c r="E6" s="17"/>
      <c r="F6" s="24"/>
      <c r="G6" s="24"/>
      <c r="H6" s="24"/>
      <c r="I6" s="2"/>
      <c r="J6" s="24"/>
      <c r="K6" s="24"/>
      <c r="L6" s="24"/>
      <c r="M6" s="24"/>
      <c r="N6" s="24"/>
      <c r="O6" s="24"/>
      <c r="P6" s="24"/>
      <c r="Q6" s="24"/>
      <c r="R6" s="24"/>
      <c r="S6" s="24"/>
      <c r="T6" s="2"/>
      <c r="U6" s="2"/>
      <c r="V6" s="22"/>
      <c r="W6" s="22"/>
      <c r="X6" s="22"/>
      <c r="Y6" s="22"/>
      <c r="Z6" s="22"/>
      <c r="AA6" s="1"/>
      <c r="AB6" s="1"/>
      <c r="AC6" s="1"/>
      <c r="AD6" s="1"/>
      <c r="AE6" s="1"/>
      <c r="AF6" s="2"/>
      <c r="AG6" s="8"/>
    </row>
    <row r="7" spans="1:33" ht="15.75">
      <c r="A7" s="195" t="s">
        <v>41</v>
      </c>
      <c r="B7" s="196"/>
      <c r="C7" s="197"/>
      <c r="D7" s="120" t="s">
        <v>42</v>
      </c>
      <c r="E7" s="121"/>
      <c r="F7" s="122"/>
      <c r="G7" s="2"/>
      <c r="H7" s="120" t="s">
        <v>43</v>
      </c>
      <c r="I7" s="121"/>
      <c r="J7" s="122"/>
      <c r="K7" s="2"/>
      <c r="L7" s="120" t="s">
        <v>44</v>
      </c>
      <c r="M7" s="121"/>
      <c r="N7" s="122"/>
      <c r="O7" s="2"/>
      <c r="P7" s="120" t="s">
        <v>45</v>
      </c>
      <c r="Q7" s="121"/>
      <c r="R7" s="122"/>
      <c r="S7" s="2"/>
      <c r="T7" s="120" t="s">
        <v>46</v>
      </c>
      <c r="U7" s="121"/>
      <c r="V7" s="122"/>
      <c r="W7" s="2"/>
      <c r="X7" s="120" t="s">
        <v>47</v>
      </c>
      <c r="Y7" s="121"/>
      <c r="Z7" s="122"/>
      <c r="AA7" s="2"/>
      <c r="AB7" s="120" t="s">
        <v>48</v>
      </c>
      <c r="AC7" s="121"/>
      <c r="AD7" s="122"/>
      <c r="AE7" s="9"/>
      <c r="AF7" s="2"/>
      <c r="AG7" s="8"/>
    </row>
    <row r="8" spans="1:33" ht="15.75" customHeight="1">
      <c r="A8" s="195"/>
      <c r="B8" s="196"/>
      <c r="C8" s="197"/>
      <c r="D8" s="146">
        <v>3</v>
      </c>
      <c r="E8" s="147"/>
      <c r="F8" s="148"/>
      <c r="G8" s="10">
        <f>IF(AND(D8&lt;&gt;"",D10=TRUE)=TRUE,1,0)</f>
        <v>1</v>
      </c>
      <c r="H8" s="146">
        <v>4</v>
      </c>
      <c r="I8" s="147"/>
      <c r="J8" s="148"/>
      <c r="K8" s="10">
        <f>IF(AND(H8&lt;&gt;"",H10=TRUE)=TRUE,1,0)</f>
        <v>1</v>
      </c>
      <c r="L8" s="146">
        <v>5</v>
      </c>
      <c r="M8" s="147"/>
      <c r="N8" s="148"/>
      <c r="O8" s="10">
        <f>IF(AND(L8&lt;&gt;"",L10=TRUE)=TRUE,1,0)</f>
        <v>1</v>
      </c>
      <c r="P8" s="146">
        <v>6</v>
      </c>
      <c r="Q8" s="147"/>
      <c r="R8" s="148"/>
      <c r="S8" s="10">
        <f>IF(AND(P8&lt;&gt;"",P10=TRUE)=TRUE,1,0)</f>
        <v>1</v>
      </c>
      <c r="T8" s="146">
        <v>7</v>
      </c>
      <c r="U8" s="147"/>
      <c r="V8" s="148"/>
      <c r="W8" s="10">
        <f>IF(AND(T8&lt;&gt;"",T10=TRUE)=TRUE,1,0)</f>
        <v>1</v>
      </c>
      <c r="X8" s="146">
        <v>8</v>
      </c>
      <c r="Y8" s="147"/>
      <c r="Z8" s="148"/>
      <c r="AA8" s="10">
        <f>IF(AND(X8&lt;&gt;"",X10=TRUE)=TRUE,1,0)</f>
        <v>1</v>
      </c>
      <c r="AB8" s="146">
        <v>9</v>
      </c>
      <c r="AC8" s="147"/>
      <c r="AD8" s="148"/>
      <c r="AE8" s="25">
        <f>IF(AND(AB8&lt;&gt;"",AB10=TRUE)=TRUE,1,0)</f>
        <v>1</v>
      </c>
      <c r="AF8" s="2">
        <f>AE8+AA8+W8+S8+O8+K8+G8</f>
        <v>7</v>
      </c>
      <c r="AG8" s="8" t="str">
        <f>IF(OR(T15="ERRO",T19="ERRO",T23="ERRO",T27="ERRO")*TRUE,"ERRO",IF(AF8&lt;3,"ERRO",IF(OR((AF8-AF9)&lt;&gt;1,AF10&lt;&gt;G9)=TRUE,"ERRO","OK")))</f>
        <v>OK</v>
      </c>
    </row>
    <row r="9" spans="1:33" ht="15.75">
      <c r="A9" s="195"/>
      <c r="B9" s="196"/>
      <c r="C9" s="197"/>
      <c r="D9" s="149"/>
      <c r="E9" s="150"/>
      <c r="F9" s="151"/>
      <c r="G9" s="10">
        <f>IF(OR(D10=FALSE,H10=FALSE)=TRUE,"",IF(OR(D8="",H8="")=TRUE,"",IF((H8-D8)&lt;0,0,H8-D8)))</f>
        <v>1</v>
      </c>
      <c r="H9" s="149"/>
      <c r="I9" s="150"/>
      <c r="J9" s="151"/>
      <c r="K9" s="10">
        <f>IF(OR(H10=FALSE,L10=FALSE)=TRUE,"",IF(OR(H8="",L8="")=TRUE,"",IF((L8-H8)&lt;0,0,L8-H8)))</f>
        <v>1</v>
      </c>
      <c r="L9" s="149"/>
      <c r="M9" s="150"/>
      <c r="N9" s="151"/>
      <c r="O9" s="10">
        <f>IF(OR(L10=FALSE,P10=FALSE)=TRUE,"",IF(OR(L8="",P8="")=TRUE,"",IF((P8-L8)&lt;0,0,P8-L8)))</f>
        <v>1</v>
      </c>
      <c r="P9" s="149"/>
      <c r="Q9" s="150"/>
      <c r="R9" s="151"/>
      <c r="S9" s="10">
        <f>IF(OR(P10=FALSE,T10=FALSE)=TRUE,"",IF(OR(P8="",T8="")=TRUE,"",IF((T8-P8)&lt;0,0,T8-P8)))</f>
        <v>1</v>
      </c>
      <c r="T9" s="149"/>
      <c r="U9" s="150"/>
      <c r="V9" s="151"/>
      <c r="W9" s="10">
        <f>IF(OR(T10=FALSE,X10=FALSE)=TRUE,"",IF(OR(T8="",X8="")=TRUE,"",IF((X8-T8)&lt;0,0,X8-T8)))</f>
        <v>1</v>
      </c>
      <c r="X9" s="149"/>
      <c r="Y9" s="150"/>
      <c r="Z9" s="151"/>
      <c r="AA9" s="10">
        <f>IF(OR(X10=FALSE,AB10=FALSE)=TRUE,"",IF(OR(X8="",AB8="")=TRUE,"",IF((AB8-X8)&lt;0,0,AB8-X8)))</f>
        <v>1</v>
      </c>
      <c r="AB9" s="149"/>
      <c r="AC9" s="150"/>
      <c r="AD9" s="151"/>
      <c r="AE9" s="25"/>
      <c r="AF9" s="2">
        <f>COUNT(AE9,AA9,W9,S9,O9,K9,G9)</f>
        <v>6</v>
      </c>
      <c r="AG9" s="8"/>
    </row>
    <row r="10" spans="1:33" ht="18.75">
      <c r="A10" s="189"/>
      <c r="B10" s="190"/>
      <c r="C10" s="191"/>
      <c r="D10" s="134" t="b">
        <v>1</v>
      </c>
      <c r="E10" s="142"/>
      <c r="F10" s="182"/>
      <c r="G10" s="20"/>
      <c r="H10" s="134" t="b">
        <v>1</v>
      </c>
      <c r="I10" s="142"/>
      <c r="J10" s="182"/>
      <c r="K10" s="20"/>
      <c r="L10" s="134" t="b">
        <v>1</v>
      </c>
      <c r="M10" s="142"/>
      <c r="N10" s="182"/>
      <c r="O10" s="20"/>
      <c r="P10" s="134" t="b">
        <v>1</v>
      </c>
      <c r="Q10" s="142"/>
      <c r="R10" s="182"/>
      <c r="S10" s="20"/>
      <c r="T10" s="134" t="b">
        <v>1</v>
      </c>
      <c r="U10" s="142"/>
      <c r="V10" s="182"/>
      <c r="W10" s="20"/>
      <c r="X10" s="134" t="b">
        <v>1</v>
      </c>
      <c r="Y10" s="142"/>
      <c r="Z10" s="182"/>
      <c r="AA10" s="20"/>
      <c r="AB10" s="186" t="b">
        <v>1</v>
      </c>
      <c r="AC10" s="187"/>
      <c r="AD10" s="188"/>
      <c r="AE10" s="11"/>
      <c r="AF10" s="12">
        <f>AVERAGE(AE9,AA9,W9,S9,O9,K9,G9)</f>
        <v>1</v>
      </c>
      <c r="AG10" s="13"/>
    </row>
    <row r="11" spans="1:33" ht="18.75">
      <c r="A11" s="192"/>
      <c r="B11" s="193"/>
      <c r="C11" s="194"/>
      <c r="D11" s="183"/>
      <c r="E11" s="184"/>
      <c r="F11" s="185"/>
      <c r="G11" s="21"/>
      <c r="H11" s="183"/>
      <c r="I11" s="184"/>
      <c r="J11" s="185"/>
      <c r="K11" s="21"/>
      <c r="L11" s="183"/>
      <c r="M11" s="184"/>
      <c r="N11" s="185"/>
      <c r="O11" s="21"/>
      <c r="P11" s="183"/>
      <c r="Q11" s="184"/>
      <c r="R11" s="185"/>
      <c r="S11" s="21"/>
      <c r="T11" s="183"/>
      <c r="U11" s="184"/>
      <c r="V11" s="185"/>
      <c r="W11" s="21"/>
      <c r="X11" s="183"/>
      <c r="Y11" s="184"/>
      <c r="Z11" s="185"/>
      <c r="AA11" s="21"/>
      <c r="AB11" s="183"/>
      <c r="AC11" s="184"/>
      <c r="AD11" s="185"/>
      <c r="AE11" s="14"/>
      <c r="AF11" s="15"/>
      <c r="AG11" s="16"/>
    </row>
    <row r="12" spans="1:33" ht="15.75">
      <c r="A12" s="1"/>
      <c r="B12" s="1"/>
      <c r="C12" s="1"/>
      <c r="D12" s="1"/>
      <c r="E12" s="17"/>
      <c r="F12" s="17"/>
      <c r="G12" s="1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1"/>
      <c r="W12" s="1"/>
      <c r="X12" s="1"/>
      <c r="Y12" s="1"/>
      <c r="Z12" s="2"/>
      <c r="AA12" s="2"/>
      <c r="AB12" s="2"/>
      <c r="AC12" s="1"/>
      <c r="AD12" s="1"/>
      <c r="AE12" s="1"/>
      <c r="AF12" s="2"/>
      <c r="AG12" s="2"/>
    </row>
    <row r="13" spans="1:33" ht="15" thickBot="1"/>
    <row r="14" spans="1:33" ht="15" customHeight="1">
      <c r="A14" s="198" t="s">
        <v>49</v>
      </c>
      <c r="B14" s="199"/>
      <c r="C14" s="199"/>
      <c r="D14" s="143" t="b">
        <v>0</v>
      </c>
      <c r="E14" s="143"/>
      <c r="F14" s="28"/>
      <c r="G14" s="143" t="b">
        <v>0</v>
      </c>
      <c r="H14" s="143"/>
      <c r="I14" s="29"/>
      <c r="J14" s="143" t="b">
        <v>0</v>
      </c>
      <c r="K14" s="143"/>
      <c r="L14" s="29"/>
      <c r="M14" s="143" t="b">
        <v>0</v>
      </c>
      <c r="N14" s="143"/>
      <c r="O14" s="30"/>
      <c r="P14" s="143" t="b">
        <v>1</v>
      </c>
      <c r="Q14" s="143"/>
      <c r="R14" s="158"/>
      <c r="S14" s="26"/>
      <c r="T14" s="70">
        <f>COUNTIF(D14:R16,TRUE)</f>
        <v>1</v>
      </c>
    </row>
    <row r="15" spans="1:33" ht="15" customHeight="1">
      <c r="A15" s="200"/>
      <c r="B15" s="201"/>
      <c r="C15" s="201"/>
      <c r="D15" s="144"/>
      <c r="E15" s="144"/>
      <c r="F15" s="31"/>
      <c r="G15" s="144"/>
      <c r="H15" s="144"/>
      <c r="J15" s="144"/>
      <c r="K15" s="144"/>
      <c r="M15" s="144"/>
      <c r="N15" s="144"/>
      <c r="O15" s="26"/>
      <c r="P15" s="144"/>
      <c r="Q15" s="144"/>
      <c r="R15" s="159"/>
      <c r="S15" s="26"/>
      <c r="T15" s="70" t="str">
        <f>IF(T14&lt;&gt;1,"ERRO","OK")</f>
        <v>OK</v>
      </c>
    </row>
    <row r="16" spans="1:33" ht="23.25" customHeight="1" thickBot="1">
      <c r="A16" s="202"/>
      <c r="B16" s="203"/>
      <c r="C16" s="203"/>
      <c r="D16" s="145"/>
      <c r="E16" s="145"/>
      <c r="F16" s="32"/>
      <c r="G16" s="145"/>
      <c r="H16" s="145"/>
      <c r="I16" s="33"/>
      <c r="J16" s="145"/>
      <c r="K16" s="145"/>
      <c r="L16" s="33"/>
      <c r="M16" s="145"/>
      <c r="N16" s="145"/>
      <c r="O16" s="34"/>
      <c r="P16" s="145"/>
      <c r="Q16" s="145"/>
      <c r="R16" s="160"/>
      <c r="S16" s="26"/>
      <c r="T16" s="70"/>
    </row>
    <row r="17" spans="1:20" ht="15" thickBot="1">
      <c r="T17" s="70"/>
    </row>
    <row r="18" spans="1:20">
      <c r="A18" s="198" t="s">
        <v>50</v>
      </c>
      <c r="B18" s="199"/>
      <c r="C18" s="199"/>
      <c r="D18" s="143" t="b">
        <v>0</v>
      </c>
      <c r="E18" s="143"/>
      <c r="F18" s="143"/>
      <c r="G18" s="29"/>
      <c r="H18" s="143" t="b">
        <v>0</v>
      </c>
      <c r="I18" s="143"/>
      <c r="J18" s="143"/>
      <c r="K18" s="29"/>
      <c r="L18" s="143" t="b">
        <v>1</v>
      </c>
      <c r="M18" s="143"/>
      <c r="N18" s="158"/>
      <c r="T18" s="70">
        <f>COUNTIF(D18:N20,TRUE)</f>
        <v>1</v>
      </c>
    </row>
    <row r="19" spans="1:20">
      <c r="A19" s="200"/>
      <c r="B19" s="201"/>
      <c r="C19" s="201"/>
      <c r="D19" s="144"/>
      <c r="E19" s="144"/>
      <c r="F19" s="144"/>
      <c r="H19" s="144"/>
      <c r="I19" s="144"/>
      <c r="J19" s="144"/>
      <c r="L19" s="144"/>
      <c r="M19" s="144"/>
      <c r="N19" s="159"/>
      <c r="T19" s="70" t="str">
        <f>IF(T18&lt;&gt;1,"ERRO","OK")</f>
        <v>OK</v>
      </c>
    </row>
    <row r="20" spans="1:20" ht="15" thickBot="1">
      <c r="A20" s="202"/>
      <c r="B20" s="203"/>
      <c r="C20" s="203"/>
      <c r="D20" s="145"/>
      <c r="E20" s="145"/>
      <c r="F20" s="145"/>
      <c r="G20" s="33"/>
      <c r="H20" s="145"/>
      <c r="I20" s="145"/>
      <c r="J20" s="145"/>
      <c r="K20" s="33"/>
      <c r="L20" s="145"/>
      <c r="M20" s="145"/>
      <c r="N20" s="160"/>
      <c r="T20" s="70"/>
    </row>
    <row r="21" spans="1:20" ht="15" thickBot="1">
      <c r="T21" s="70"/>
    </row>
    <row r="22" spans="1:20">
      <c r="A22" s="198" t="s">
        <v>51</v>
      </c>
      <c r="B22" s="199"/>
      <c r="C22" s="199"/>
      <c r="D22" s="143" t="b">
        <v>0</v>
      </c>
      <c r="E22" s="143"/>
      <c r="F22" s="143"/>
      <c r="G22" s="29"/>
      <c r="H22" s="143" t="b">
        <v>1</v>
      </c>
      <c r="I22" s="143"/>
      <c r="J22" s="143"/>
      <c r="K22" s="29"/>
      <c r="L22" s="143" t="b">
        <v>0</v>
      </c>
      <c r="M22" s="143"/>
      <c r="N22" s="143"/>
      <c r="O22" s="29"/>
      <c r="P22" s="143" t="b">
        <v>0</v>
      </c>
      <c r="Q22" s="143"/>
      <c r="R22" s="158"/>
      <c r="T22" s="70">
        <f>COUNTIF(D22:R24,TRUE)</f>
        <v>1</v>
      </c>
    </row>
    <row r="23" spans="1:20">
      <c r="A23" s="200"/>
      <c r="B23" s="201"/>
      <c r="C23" s="201"/>
      <c r="D23" s="144"/>
      <c r="E23" s="144"/>
      <c r="F23" s="144"/>
      <c r="H23" s="144"/>
      <c r="I23" s="144"/>
      <c r="J23" s="144"/>
      <c r="L23" s="144"/>
      <c r="M23" s="144"/>
      <c r="N23" s="144"/>
      <c r="P23" s="144"/>
      <c r="Q23" s="144"/>
      <c r="R23" s="159"/>
      <c r="T23" s="70" t="str">
        <f>IF(T22&lt;&gt;1,"ERRO","OK")</f>
        <v>OK</v>
      </c>
    </row>
    <row r="24" spans="1:20" ht="15" thickBot="1">
      <c r="A24" s="202"/>
      <c r="B24" s="203"/>
      <c r="C24" s="203"/>
      <c r="D24" s="145"/>
      <c r="E24" s="145"/>
      <c r="F24" s="145"/>
      <c r="G24" s="33"/>
      <c r="H24" s="145"/>
      <c r="I24" s="145"/>
      <c r="J24" s="145"/>
      <c r="K24" s="33"/>
      <c r="L24" s="145"/>
      <c r="M24" s="145"/>
      <c r="N24" s="145"/>
      <c r="O24" s="33"/>
      <c r="P24" s="145"/>
      <c r="Q24" s="145"/>
      <c r="R24" s="160"/>
      <c r="T24" s="70"/>
    </row>
    <row r="25" spans="1:20" ht="15" thickBot="1">
      <c r="T25" s="70"/>
    </row>
    <row r="26" spans="1:20" ht="15" customHeight="1">
      <c r="A26" s="198" t="s">
        <v>52</v>
      </c>
      <c r="B26" s="199"/>
      <c r="C26" s="199"/>
      <c r="D26" s="143" t="b">
        <v>1</v>
      </c>
      <c r="E26" s="143"/>
      <c r="F26" s="143"/>
      <c r="G26" s="29"/>
      <c r="H26" s="143" t="b">
        <v>0</v>
      </c>
      <c r="I26" s="143"/>
      <c r="J26" s="143"/>
      <c r="K26" s="29"/>
      <c r="L26" s="143" t="b">
        <v>0</v>
      </c>
      <c r="M26" s="143"/>
      <c r="N26" s="143"/>
      <c r="O26" s="29"/>
      <c r="P26" s="143" t="b">
        <v>0</v>
      </c>
      <c r="Q26" s="143"/>
      <c r="R26" s="152"/>
      <c r="S26" s="153"/>
      <c r="T26" s="70">
        <f>COUNTIF(D26:Q28,TRUE)</f>
        <v>1</v>
      </c>
    </row>
    <row r="27" spans="1:20" ht="15" customHeight="1">
      <c r="A27" s="200"/>
      <c r="B27" s="201"/>
      <c r="C27" s="201"/>
      <c r="D27" s="144"/>
      <c r="E27" s="144"/>
      <c r="F27" s="144"/>
      <c r="H27" s="144"/>
      <c r="I27" s="144"/>
      <c r="J27" s="144"/>
      <c r="L27" s="144"/>
      <c r="M27" s="144"/>
      <c r="N27" s="144"/>
      <c r="P27" s="144"/>
      <c r="Q27" s="144"/>
      <c r="R27" s="154"/>
      <c r="S27" s="155"/>
      <c r="T27" s="70" t="str">
        <f>IF(T26&lt;&gt;1,"ERRO","OK")</f>
        <v>OK</v>
      </c>
    </row>
    <row r="28" spans="1:20" ht="15" customHeight="1" thickBot="1">
      <c r="A28" s="202"/>
      <c r="B28" s="203"/>
      <c r="C28" s="203"/>
      <c r="D28" s="145"/>
      <c r="E28" s="145"/>
      <c r="F28" s="145"/>
      <c r="G28" s="33"/>
      <c r="H28" s="145"/>
      <c r="I28" s="145"/>
      <c r="J28" s="145"/>
      <c r="K28" s="33"/>
      <c r="L28" s="145"/>
      <c r="M28" s="145"/>
      <c r="N28" s="145"/>
      <c r="O28" s="33"/>
      <c r="P28" s="145"/>
      <c r="Q28" s="145"/>
      <c r="R28" s="156"/>
      <c r="S28" s="157"/>
      <c r="T28" s="70"/>
    </row>
    <row r="29" spans="1:20" ht="15" thickBot="1"/>
    <row r="30" spans="1:20" ht="15" customHeight="1">
      <c r="A30" s="204" t="s">
        <v>53</v>
      </c>
      <c r="B30" s="205"/>
      <c r="C30" s="205"/>
      <c r="D30" s="209">
        <v>20</v>
      </c>
      <c r="E30" s="210"/>
      <c r="G30" s="204" t="s">
        <v>54</v>
      </c>
      <c r="H30" s="205"/>
      <c r="I30" s="205"/>
      <c r="J30" s="215">
        <v>0.51</v>
      </c>
      <c r="K30" s="216"/>
    </row>
    <row r="31" spans="1:20" ht="15" customHeight="1">
      <c r="A31" s="206"/>
      <c r="B31" s="196"/>
      <c r="C31" s="196"/>
      <c r="D31" s="211"/>
      <c r="E31" s="212"/>
      <c r="G31" s="206"/>
      <c r="H31" s="196"/>
      <c r="I31" s="196"/>
      <c r="J31" s="217"/>
      <c r="K31" s="218"/>
    </row>
    <row r="32" spans="1:20" ht="15.75" customHeight="1">
      <c r="A32" s="206"/>
      <c r="B32" s="196"/>
      <c r="C32" s="196"/>
      <c r="D32" s="211"/>
      <c r="E32" s="212"/>
      <c r="G32" s="206"/>
      <c r="H32" s="196"/>
      <c r="I32" s="196"/>
      <c r="J32" s="217"/>
      <c r="K32" s="218"/>
    </row>
    <row r="33" spans="1:11">
      <c r="A33" s="206"/>
      <c r="B33" s="196"/>
      <c r="C33" s="196"/>
      <c r="D33" s="211"/>
      <c r="E33" s="212"/>
      <c r="G33" s="206"/>
      <c r="H33" s="196"/>
      <c r="I33" s="196"/>
      <c r="J33" s="217"/>
      <c r="K33" s="218"/>
    </row>
    <row r="34" spans="1:11" ht="15" thickBot="1">
      <c r="A34" s="207"/>
      <c r="B34" s="208"/>
      <c r="C34" s="208"/>
      <c r="D34" s="213"/>
      <c r="E34" s="214"/>
      <c r="G34" s="207"/>
      <c r="H34" s="208"/>
      <c r="I34" s="208"/>
      <c r="J34" s="219"/>
      <c r="K34" s="220"/>
    </row>
    <row r="35" spans="1:11" ht="15" thickBot="1"/>
    <row r="36" spans="1:11" ht="15" customHeight="1">
      <c r="A36" s="204" t="s">
        <v>55</v>
      </c>
      <c r="B36" s="205"/>
      <c r="C36" s="205"/>
      <c r="D36" s="209">
        <v>28</v>
      </c>
      <c r="E36" s="210"/>
      <c r="G36" s="204" t="s">
        <v>56</v>
      </c>
      <c r="H36" s="205"/>
      <c r="I36" s="205"/>
      <c r="J36" s="215" t="s">
        <v>57</v>
      </c>
      <c r="K36" s="216"/>
    </row>
    <row r="37" spans="1:11" ht="15" customHeight="1">
      <c r="A37" s="206"/>
      <c r="B37" s="196"/>
      <c r="C37" s="196"/>
      <c r="D37" s="211"/>
      <c r="E37" s="212"/>
      <c r="G37" s="206"/>
      <c r="H37" s="196"/>
      <c r="I37" s="196"/>
      <c r="J37" s="217"/>
      <c r="K37" s="218"/>
    </row>
    <row r="38" spans="1:11" ht="15" customHeight="1">
      <c r="A38" s="206"/>
      <c r="B38" s="196"/>
      <c r="C38" s="196"/>
      <c r="D38" s="211"/>
      <c r="E38" s="212"/>
      <c r="G38" s="206"/>
      <c r="H38" s="196"/>
      <c r="I38" s="196"/>
      <c r="J38" s="217"/>
      <c r="K38" s="218"/>
    </row>
    <row r="39" spans="1:11" ht="15" customHeight="1">
      <c r="A39" s="206"/>
      <c r="B39" s="196"/>
      <c r="C39" s="196"/>
      <c r="D39" s="211"/>
      <c r="E39" s="212"/>
      <c r="G39" s="206"/>
      <c r="H39" s="196"/>
      <c r="I39" s="196"/>
      <c r="J39" s="217"/>
      <c r="K39" s="218"/>
    </row>
    <row r="40" spans="1:11" ht="15.75" customHeight="1" thickBot="1">
      <c r="A40" s="207"/>
      <c r="B40" s="208"/>
      <c r="C40" s="208"/>
      <c r="D40" s="213"/>
      <c r="E40" s="214"/>
      <c r="G40" s="207"/>
      <c r="H40" s="208"/>
      <c r="I40" s="208"/>
      <c r="J40" s="219"/>
      <c r="K40" s="220"/>
    </row>
  </sheetData>
  <mergeCells count="58">
    <mergeCell ref="A36:C40"/>
    <mergeCell ref="D36:E40"/>
    <mergeCell ref="G36:I40"/>
    <mergeCell ref="J36:K40"/>
    <mergeCell ref="A30:C34"/>
    <mergeCell ref="D30:E34"/>
    <mergeCell ref="G30:I34"/>
    <mergeCell ref="J30:K34"/>
    <mergeCell ref="A22:C24"/>
    <mergeCell ref="D22:F24"/>
    <mergeCell ref="H22:J24"/>
    <mergeCell ref="A26:C28"/>
    <mergeCell ref="D26:F28"/>
    <mergeCell ref="H26:J28"/>
    <mergeCell ref="A14:C16"/>
    <mergeCell ref="A18:C20"/>
    <mergeCell ref="D18:F20"/>
    <mergeCell ref="H18:J20"/>
    <mergeCell ref="T7:V7"/>
    <mergeCell ref="L8:N9"/>
    <mergeCell ref="P8:R9"/>
    <mergeCell ref="T8:V9"/>
    <mergeCell ref="D8:F9"/>
    <mergeCell ref="H8:J9"/>
    <mergeCell ref="P14:R16"/>
    <mergeCell ref="D14:E16"/>
    <mergeCell ref="G14:H16"/>
    <mergeCell ref="J14:K16"/>
    <mergeCell ref="M14:N16"/>
    <mergeCell ref="L18:N20"/>
    <mergeCell ref="X7:Z7"/>
    <mergeCell ref="AB7:AD7"/>
    <mergeCell ref="X10:Z11"/>
    <mergeCell ref="AB10:AD11"/>
    <mergeCell ref="A10:C11"/>
    <mergeCell ref="D10:F11"/>
    <mergeCell ref="H10:J11"/>
    <mergeCell ref="L10:N11"/>
    <mergeCell ref="P10:R11"/>
    <mergeCell ref="T10:V11"/>
    <mergeCell ref="A7:C9"/>
    <mergeCell ref="D7:F7"/>
    <mergeCell ref="H7:J7"/>
    <mergeCell ref="L7:N7"/>
    <mergeCell ref="P7:R7"/>
    <mergeCell ref="A2:AG2"/>
    <mergeCell ref="A3:C4"/>
    <mergeCell ref="D3:E4"/>
    <mergeCell ref="F3:H4"/>
    <mergeCell ref="I3:K4"/>
    <mergeCell ref="L3:N4"/>
    <mergeCell ref="L26:N28"/>
    <mergeCell ref="P26:Q28"/>
    <mergeCell ref="X8:Z9"/>
    <mergeCell ref="AB8:AD9"/>
    <mergeCell ref="R26:S28"/>
    <mergeCell ref="L22:N24"/>
    <mergeCell ref="P22:R24"/>
  </mergeCells>
  <conditionalFormatting sqref="A2:AG2">
    <cfRule type="expression" dxfId="74" priority="91">
      <formula>$T$3="ERRO"</formula>
    </cfRule>
    <cfRule type="expression" dxfId="73" priority="92">
      <formula>$T$3="OK"</formula>
    </cfRule>
  </conditionalFormatting>
  <conditionalFormatting sqref="D7:F7">
    <cfRule type="expression" dxfId="72" priority="58">
      <formula>$D$10=FALSE</formula>
    </cfRule>
    <cfRule type="expression" dxfId="71" priority="59">
      <formula>IF(AND($D$8="",$D$10=TRUE)=TRUE,TRUE,FALSE)</formula>
    </cfRule>
    <cfRule type="expression" dxfId="70" priority="60">
      <formula>IF(AND($D$8&lt;&gt;"",$D$10=TRUE)=TRUE,TRUE,FALSE)</formula>
    </cfRule>
  </conditionalFormatting>
  <conditionalFormatting sqref="D8:F9">
    <cfRule type="expression" dxfId="69" priority="61">
      <formula>$D$10=FALSE</formula>
    </cfRule>
    <cfRule type="expression" dxfId="68" priority="62">
      <formula>$D$10=TRUE</formula>
    </cfRule>
  </conditionalFormatting>
  <conditionalFormatting sqref="H7:J7">
    <cfRule type="expression" dxfId="67" priority="63">
      <formula>$H$10=FALSE</formula>
    </cfRule>
    <cfRule type="expression" dxfId="66" priority="64">
      <formula>IF(AND($H$8="",$H$10=TRUE)=TRUE,TRUE,FALSE)</formula>
    </cfRule>
    <cfRule type="expression" dxfId="65" priority="65">
      <formula>IF(AND($H$8&lt;&gt;"",$H$10=TRUE)=TRUE,TRUE,FALSE)</formula>
    </cfRule>
  </conditionalFormatting>
  <conditionalFormatting sqref="H8:J9">
    <cfRule type="expression" dxfId="64" priority="54">
      <formula>$H$10=FALSE</formula>
    </cfRule>
    <cfRule type="expression" dxfId="63" priority="55">
      <formula>$H$10=TRUE</formula>
    </cfRule>
  </conditionalFormatting>
  <conditionalFormatting sqref="L7:N7">
    <cfRule type="expression" dxfId="62" priority="66">
      <formula>$L$10=FALSE</formula>
    </cfRule>
    <cfRule type="expression" dxfId="61" priority="67">
      <formula>IF(AND($L$8="",$L$10=TRUE)=TRUE,TRUE,FALSE)</formula>
    </cfRule>
    <cfRule type="expression" dxfId="60" priority="68">
      <formula>IF(AND($L$8&lt;&gt;"",$L$10=TRUE)=TRUE,TRUE,FALSE)</formula>
    </cfRule>
  </conditionalFormatting>
  <conditionalFormatting sqref="L8:N9">
    <cfRule type="expression" dxfId="59" priority="69">
      <formula>$L$10=FALSE</formula>
    </cfRule>
    <cfRule type="expression" dxfId="58" priority="70">
      <formula>$L$10=TRUE</formula>
    </cfRule>
  </conditionalFormatting>
  <conditionalFormatting sqref="P7:R7">
    <cfRule type="expression" dxfId="57" priority="71">
      <formula>$P$10=FALSE</formula>
    </cfRule>
    <cfRule type="expression" dxfId="56" priority="72">
      <formula>IF(AND($P$8="",$P$10=TRUE)=TRUE,TRUE,FALSE)</formula>
    </cfRule>
    <cfRule type="expression" dxfId="55" priority="73">
      <formula>IF(AND($P$8&lt;&gt;"",$P$10=TRUE)=TRUE,TRUE,FALSE)</formula>
    </cfRule>
  </conditionalFormatting>
  <conditionalFormatting sqref="P8:R9">
    <cfRule type="expression" dxfId="54" priority="74">
      <formula>$P$10=FALSE</formula>
    </cfRule>
    <cfRule type="expression" dxfId="53" priority="75">
      <formula>$P$10=TRUE</formula>
    </cfRule>
  </conditionalFormatting>
  <conditionalFormatting sqref="P10:R11">
    <cfRule type="expression" dxfId="52" priority="107">
      <formula>#REF!&lt;4</formula>
    </cfRule>
  </conditionalFormatting>
  <conditionalFormatting sqref="T7:V7">
    <cfRule type="expression" dxfId="51" priority="76">
      <formula>$T$10=FALSE</formula>
    </cfRule>
    <cfRule type="expression" dxfId="50" priority="77">
      <formula>IF(AND($T$8="",$T$10=TRUE)=TRUE,TRUE,FALSE)</formula>
    </cfRule>
    <cfRule type="expression" dxfId="49" priority="78">
      <formula>IF(AND($T$8&lt;&gt;"",$T$10=TRUE)=TRUE,TRUE,FALSE)</formula>
    </cfRule>
  </conditionalFormatting>
  <conditionalFormatting sqref="T8:V9">
    <cfRule type="expression" dxfId="48" priority="79">
      <formula>$T$10=FALSE</formula>
    </cfRule>
    <cfRule type="expression" dxfId="47" priority="80">
      <formula>$T$10=TRUE</formula>
    </cfRule>
  </conditionalFormatting>
  <conditionalFormatting sqref="T10:V11">
    <cfRule type="expression" dxfId="46" priority="112">
      <formula>#REF!&lt;5</formula>
    </cfRule>
  </conditionalFormatting>
  <conditionalFormatting sqref="X7:Z7">
    <cfRule type="expression" dxfId="45" priority="86">
      <formula>$X$10=FALSE</formula>
    </cfRule>
    <cfRule type="expression" dxfId="44" priority="87">
      <formula>IF(AND($X$8="",$X$10=TRUE)=TRUE,TRUE,FALSE)</formula>
    </cfRule>
    <cfRule type="expression" dxfId="43" priority="88">
      <formula>IF(AND($X$8&lt;&gt;"",$X$10=TRUE)=TRUE,TRUE,FALSE)</formula>
    </cfRule>
  </conditionalFormatting>
  <conditionalFormatting sqref="X8:Z9">
    <cfRule type="expression" dxfId="42" priority="89">
      <formula>$X$10=FALSE</formula>
    </cfRule>
    <cfRule type="expression" dxfId="41" priority="90">
      <formula>$X$10=TRUE</formula>
    </cfRule>
  </conditionalFormatting>
  <conditionalFormatting sqref="X10:Z11">
    <cfRule type="expression" dxfId="40" priority="113">
      <formula>#REF!&lt;6</formula>
    </cfRule>
  </conditionalFormatting>
  <conditionalFormatting sqref="AB7:AD7">
    <cfRule type="expression" dxfId="39" priority="82">
      <formula>IF(AND($AB$8="",$AB$10=TRUE)=TRUE,TRUE,FALSE)</formula>
    </cfRule>
    <cfRule type="expression" dxfId="38" priority="83">
      <formula>IF(AND($AB$8&lt;&gt;"",$AB$10=TRUE)=TRUE,TRUE,FALSE)</formula>
    </cfRule>
    <cfRule type="expression" dxfId="37" priority="81">
      <formula>$AB$10=FALSE</formula>
    </cfRule>
  </conditionalFormatting>
  <conditionalFormatting sqref="AB8:AD9">
    <cfRule type="expression" dxfId="36" priority="84">
      <formula>$AB$10=FALSE</formula>
    </cfRule>
    <cfRule type="expression" dxfId="35" priority="85">
      <formula>$AB$10=TRUE</formula>
    </cfRule>
  </conditionalFormatting>
  <pageMargins left="0.511811024" right="0.511811024" top="0.78740157499999996" bottom="0.78740157499999996" header="0.31496062000000002" footer="0.31496062000000002"/>
  <pageSetup paperSize="9" scale="3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40D8D1-AF17-482B-8533-4EC4D0271254}">
          <x14:formula1>
            <xm:f>'Dados - Resistências'!$T$3:$T$5</xm:f>
          </x14:formula1>
          <xm:sqref>J36:K40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FCD5-8D78-4673-9396-3C004E901286}">
  <dimension ref="A1:P29"/>
  <sheetViews>
    <sheetView zoomScale="85" zoomScaleNormal="85" workbookViewId="0">
      <selection activeCell="A4" sqref="A4:H23"/>
    </sheetView>
  </sheetViews>
  <sheetFormatPr defaultColWidth="9.125" defaultRowHeight="22.5" customHeight="1"/>
  <cols>
    <col min="1" max="8" width="14.25" style="27" customWidth="1"/>
    <col min="9" max="10" width="9.125" style="27"/>
    <col min="11" max="11" width="7" style="27" bestFit="1" customWidth="1"/>
    <col min="12" max="12" width="18.125" style="27" bestFit="1" customWidth="1"/>
    <col min="13" max="13" width="8.125" style="27" bestFit="1" customWidth="1"/>
    <col min="14" max="15" width="14.25" style="27" bestFit="1" customWidth="1"/>
    <col min="16" max="16" width="16" style="27" bestFit="1" customWidth="1"/>
    <col min="17" max="16384" width="9.125" style="27"/>
  </cols>
  <sheetData>
    <row r="1" spans="1:16" ht="22.5" customHeight="1">
      <c r="A1" s="221" t="s">
        <v>58</v>
      </c>
      <c r="B1" s="221"/>
      <c r="C1" s="221"/>
      <c r="D1" s="221"/>
      <c r="E1" s="221"/>
      <c r="F1" s="221"/>
      <c r="G1" s="221"/>
      <c r="H1" s="221"/>
      <c r="J1" s="27" t="str">
        <f>IF(SUM(J4:J24)&gt;0,"ERRO","OK")</f>
        <v>OK</v>
      </c>
      <c r="M1" s="27" t="str">
        <f>'Escopo de Estudo'!AG8</f>
        <v>OK</v>
      </c>
      <c r="N1" s="27" t="str">
        <f>'Cadastro de Insumos'!U3</f>
        <v>OK</v>
      </c>
      <c r="P1" s="27" t="str">
        <f>IF(OR(M1="ERRO",N1="ERRO")=TRUE,"ERRO","OK")</f>
        <v>OK</v>
      </c>
    </row>
    <row r="2" spans="1:16" ht="22.5" customHeight="1">
      <c r="A2" s="221"/>
      <c r="B2" s="221"/>
      <c r="C2" s="221"/>
      <c r="D2" s="221"/>
      <c r="E2" s="221"/>
      <c r="F2" s="221"/>
      <c r="G2" s="221"/>
      <c r="H2" s="221"/>
    </row>
    <row r="3" spans="1:16" ht="22.5" customHeight="1" thickBot="1"/>
    <row r="4" spans="1:16" ht="22.5" customHeight="1">
      <c r="A4" s="224" t="str">
        <f>IF('Escopo de Estudo'!AG8="OK",IF('Escopo de Estudo'!D10=TRUE,"Traço A: m = "&amp;'Escopo de Estudo'!D8,"ERRO"))</f>
        <v>Traço A: m = 3</v>
      </c>
      <c r="B4" s="225"/>
      <c r="C4" s="225"/>
      <c r="D4" s="225"/>
      <c r="E4" s="225"/>
      <c r="F4" s="225"/>
      <c r="G4" s="225"/>
      <c r="H4" s="226"/>
      <c r="I4" s="27">
        <f>IF(A4="ERRO",1,0)</f>
        <v>0</v>
      </c>
      <c r="K4" s="27" t="s">
        <v>59</v>
      </c>
      <c r="L4" s="27" t="s">
        <v>60</v>
      </c>
      <c r="M4" s="27" t="s">
        <v>61</v>
      </c>
      <c r="N4" s="27" t="s">
        <v>62</v>
      </c>
      <c r="O4" s="27" t="s">
        <v>63</v>
      </c>
      <c r="P4" s="27" t="s">
        <v>64</v>
      </c>
    </row>
    <row r="5" spans="1:16" ht="22.5" customHeight="1">
      <c r="A5" s="36" t="s">
        <v>65</v>
      </c>
      <c r="B5" s="37">
        <v>0.51</v>
      </c>
      <c r="C5" s="35" t="s">
        <v>66</v>
      </c>
      <c r="D5" s="38">
        <v>3.48</v>
      </c>
      <c r="E5" s="35" t="s">
        <v>67</v>
      </c>
      <c r="F5" s="39">
        <v>200</v>
      </c>
      <c r="G5" s="35" t="s">
        <v>68</v>
      </c>
      <c r="H5" s="40">
        <v>19.579999999999998</v>
      </c>
      <c r="J5" s="27">
        <f>IF(I4=1,0,IF(OR(B5="",D5="",F5="",H5="")=TRUE,1,0))</f>
        <v>0</v>
      </c>
      <c r="K5" s="27">
        <f>'Escopo de Estudo'!$D$8-(B5*(1+'Escopo de Estudo'!$D$8)-1)</f>
        <v>1.96</v>
      </c>
      <c r="L5" s="27">
        <f>'Escopo de Estudo'!$D$30/K5</f>
        <v>10.204081632653061</v>
      </c>
      <c r="M5" s="27">
        <f>D5/L5</f>
        <v>0.34104000000000001</v>
      </c>
      <c r="N5" s="27">
        <f>(H5-$G$27)/$C$27</f>
        <v>2460.3773584905657</v>
      </c>
      <c r="O5" s="27">
        <f>N5/(1+'Escopo de Estudo'!D8+M5)</f>
        <v>566.77140926841628</v>
      </c>
      <c r="P5" s="27">
        <f>O5*'Cadastro de Insumos'!$P$6</f>
        <v>566.77140926841628</v>
      </c>
    </row>
    <row r="6" spans="1:16" ht="22.5" customHeight="1">
      <c r="A6" s="222"/>
      <c r="B6" s="136"/>
      <c r="C6" s="136"/>
      <c r="D6" s="136"/>
      <c r="E6" s="136"/>
      <c r="F6" s="136"/>
      <c r="G6" s="136"/>
      <c r="H6" s="223"/>
    </row>
    <row r="7" spans="1:16" ht="22.5" customHeight="1">
      <c r="A7" s="222" t="str">
        <f>IF('Escopo de Estudo'!AG8="OK",IF('Escopo de Estudo'!H10=TRUE,"Traço B: m = "&amp;'Escopo de Estudo'!H8,"ERRO"))</f>
        <v>Traço B: m = 4</v>
      </c>
      <c r="B7" s="136"/>
      <c r="C7" s="136"/>
      <c r="D7" s="136"/>
      <c r="E7" s="136"/>
      <c r="F7" s="136"/>
      <c r="G7" s="136"/>
      <c r="H7" s="223"/>
      <c r="I7" s="27">
        <f t="shared" ref="I7:I22" si="0">IF(A7="ERRO",1,0)</f>
        <v>0</v>
      </c>
    </row>
    <row r="8" spans="1:16" ht="22.5" customHeight="1">
      <c r="A8" s="36" t="s">
        <v>65</v>
      </c>
      <c r="B8" s="37">
        <v>0.51</v>
      </c>
      <c r="C8" s="35" t="s">
        <v>66</v>
      </c>
      <c r="D8" s="38">
        <v>3.5</v>
      </c>
      <c r="E8" s="35" t="s">
        <v>67</v>
      </c>
      <c r="F8" s="39">
        <v>200</v>
      </c>
      <c r="G8" s="35" t="s">
        <v>68</v>
      </c>
      <c r="H8" s="40">
        <v>19.579999999999998</v>
      </c>
      <c r="J8" s="27">
        <f>IF(I7=1,0,IF(OR(B8="",D8="",F8="",H8="")=TRUE,1,0))</f>
        <v>0</v>
      </c>
      <c r="K8" s="27">
        <f>'Escopo de Estudo'!H8-(B8*(1+'Escopo de Estudo'!H8)-1)</f>
        <v>2.4500000000000002</v>
      </c>
      <c r="L8" s="27">
        <f>'Escopo de Estudo'!$D$30/K8</f>
        <v>8.1632653061224492</v>
      </c>
      <c r="M8" s="27">
        <f>D8/L8</f>
        <v>0.42874999999999996</v>
      </c>
      <c r="N8" s="27">
        <f>(H8-$G$27)/$C$27</f>
        <v>2460.3773584905657</v>
      </c>
      <c r="O8" s="27">
        <f>N8/(1+'Escopo de Estudo'!H8+M8)</f>
        <v>453.21249983708327</v>
      </c>
      <c r="P8" s="27">
        <f>O8*'Cadastro de Insumos'!$P$6</f>
        <v>453.21249983708327</v>
      </c>
    </row>
    <row r="9" spans="1:16" ht="22.5" customHeight="1">
      <c r="A9" s="222"/>
      <c r="B9" s="136"/>
      <c r="C9" s="136"/>
      <c r="D9" s="136"/>
      <c r="E9" s="136"/>
      <c r="F9" s="136"/>
      <c r="G9" s="136"/>
      <c r="H9" s="223"/>
    </row>
    <row r="10" spans="1:16" ht="22.5" customHeight="1">
      <c r="A10" s="222" t="str">
        <f>IF('Escopo de Estudo'!AG8="OK",IF('Escopo de Estudo'!L10=TRUE,"Traço A: m = "&amp;'Escopo de Estudo'!L8,"ERRO"))</f>
        <v>Traço A: m = 5</v>
      </c>
      <c r="B10" s="136"/>
      <c r="C10" s="136"/>
      <c r="D10" s="136"/>
      <c r="E10" s="136"/>
      <c r="F10" s="136"/>
      <c r="G10" s="136"/>
      <c r="H10" s="223"/>
      <c r="I10" s="27">
        <f t="shared" si="0"/>
        <v>0</v>
      </c>
    </row>
    <row r="11" spans="1:16" ht="22.5" customHeight="1">
      <c r="A11" s="36" t="s">
        <v>65</v>
      </c>
      <c r="B11" s="37">
        <v>0.51</v>
      </c>
      <c r="C11" s="35" t="s">
        <v>66</v>
      </c>
      <c r="D11" s="38">
        <v>3.44</v>
      </c>
      <c r="E11" s="35" t="s">
        <v>67</v>
      </c>
      <c r="F11" s="39">
        <v>200</v>
      </c>
      <c r="G11" s="35" t="s">
        <v>68</v>
      </c>
      <c r="H11" s="40">
        <v>19.579999999999998</v>
      </c>
      <c r="J11" s="27">
        <f>IF(I10=1,0,IF(OR(B11="",D11="",F11="",H11="")=TRUE,1,0))</f>
        <v>0</v>
      </c>
      <c r="K11" s="27">
        <f>'Escopo de Estudo'!L8-(B11*(1+'Escopo de Estudo'!L8)-1)</f>
        <v>2.94</v>
      </c>
      <c r="L11" s="27">
        <f>'Escopo de Estudo'!$D$30/K11</f>
        <v>6.8027210884353746</v>
      </c>
      <c r="M11" s="27">
        <f>D11/L11</f>
        <v>0.50567999999999991</v>
      </c>
      <c r="N11" s="27">
        <f>(H11-$G$27)/$C$27</f>
        <v>2460.3773584905657</v>
      </c>
      <c r="O11" s="27">
        <f>N11/(1+'Escopo de Estudo'!L8+M11)</f>
        <v>378.18911451079146</v>
      </c>
      <c r="P11" s="27">
        <f>O11*'Cadastro de Insumos'!$P$6</f>
        <v>378.18911451079146</v>
      </c>
    </row>
    <row r="12" spans="1:16" ht="22.5" customHeight="1">
      <c r="A12" s="222"/>
      <c r="B12" s="136"/>
      <c r="C12" s="136"/>
      <c r="D12" s="136"/>
      <c r="E12" s="136"/>
      <c r="F12" s="136"/>
      <c r="G12" s="136"/>
      <c r="H12" s="223"/>
    </row>
    <row r="13" spans="1:16" ht="22.5" customHeight="1">
      <c r="A13" s="222" t="str">
        <f>IF('Escopo de Estudo'!AG8="OK",IF('Escopo de Estudo'!P10=TRUE,"Traço A: m = "&amp;'Escopo de Estudo'!P8,"ERRO"))</f>
        <v>Traço A: m = 6</v>
      </c>
      <c r="B13" s="136"/>
      <c r="C13" s="136"/>
      <c r="D13" s="136"/>
      <c r="E13" s="136"/>
      <c r="F13" s="136"/>
      <c r="G13" s="136"/>
      <c r="H13" s="223"/>
      <c r="I13" s="27">
        <f t="shared" si="0"/>
        <v>0</v>
      </c>
    </row>
    <row r="14" spans="1:16" ht="22.5" customHeight="1">
      <c r="A14" s="36" t="s">
        <v>65</v>
      </c>
      <c r="B14" s="37">
        <v>0.51</v>
      </c>
      <c r="C14" s="35" t="s">
        <v>66</v>
      </c>
      <c r="D14" s="38">
        <v>3.5</v>
      </c>
      <c r="E14" s="35" t="s">
        <v>67</v>
      </c>
      <c r="F14" s="39">
        <v>200</v>
      </c>
      <c r="G14" s="35" t="s">
        <v>68</v>
      </c>
      <c r="H14" s="40">
        <v>19.579999999999998</v>
      </c>
      <c r="J14" s="27">
        <f>IF(I13=1,0,IF(OR(B14="",D14="",F14="",H14="")=TRUE,1,0))</f>
        <v>0</v>
      </c>
      <c r="K14" s="27">
        <f>'Escopo de Estudo'!P8-(B14*(1+'Escopo de Estudo'!P8)-1)</f>
        <v>3.4299999999999997</v>
      </c>
      <c r="L14" s="27">
        <f>'Escopo de Estudo'!$D$30/K14</f>
        <v>5.8309037900874641</v>
      </c>
      <c r="M14" s="27">
        <f>D14/L14</f>
        <v>0.60024999999999995</v>
      </c>
      <c r="N14" s="27">
        <f>(H14-$G$27)/$C$27</f>
        <v>2460.3773584905657</v>
      </c>
      <c r="O14" s="27">
        <f>N14/(1+'Escopo de Estudo'!P8+M14)</f>
        <v>323.72321416934517</v>
      </c>
      <c r="P14" s="27">
        <f>O14*'Cadastro de Insumos'!$P$6</f>
        <v>323.72321416934517</v>
      </c>
    </row>
    <row r="15" spans="1:16" ht="22.5" customHeight="1">
      <c r="A15" s="222"/>
      <c r="B15" s="136"/>
      <c r="C15" s="136"/>
      <c r="D15" s="136"/>
      <c r="E15" s="136"/>
      <c r="F15" s="136"/>
      <c r="G15" s="136"/>
      <c r="H15" s="223"/>
    </row>
    <row r="16" spans="1:16" ht="22.5" customHeight="1">
      <c r="A16" s="222" t="str">
        <f>IF('Escopo de Estudo'!AG8="OK",IF('Escopo de Estudo'!T10=TRUE,"Traço A: m = "&amp;'Escopo de Estudo'!T8,"ERRO"))</f>
        <v>Traço A: m = 7</v>
      </c>
      <c r="B16" s="136"/>
      <c r="C16" s="136"/>
      <c r="D16" s="136"/>
      <c r="E16" s="136"/>
      <c r="F16" s="136"/>
      <c r="G16" s="136"/>
      <c r="H16" s="223"/>
      <c r="I16" s="27">
        <f t="shared" si="0"/>
        <v>0</v>
      </c>
    </row>
    <row r="17" spans="1:16" ht="22.5" customHeight="1">
      <c r="A17" s="36" t="s">
        <v>65</v>
      </c>
      <c r="B17" s="37">
        <v>0.51</v>
      </c>
      <c r="C17" s="35" t="s">
        <v>66</v>
      </c>
      <c r="D17" s="38">
        <v>3.49</v>
      </c>
      <c r="E17" s="35" t="s">
        <v>67</v>
      </c>
      <c r="F17" s="39">
        <v>200</v>
      </c>
      <c r="G17" s="35" t="s">
        <v>68</v>
      </c>
      <c r="H17" s="40">
        <v>19.579999999999998</v>
      </c>
      <c r="J17" s="27">
        <f>IF(I16=1,0,IF(OR(B17="",D17="",F17="",H17="")=TRUE,1,0))</f>
        <v>0</v>
      </c>
      <c r="K17" s="27">
        <f>'Escopo de Estudo'!T8-(B17*(1+'Escopo de Estudo'!T8)-1)</f>
        <v>3.92</v>
      </c>
      <c r="L17" s="27">
        <f>'Escopo de Estudo'!$D$30/K17</f>
        <v>5.1020408163265305</v>
      </c>
      <c r="M17" s="27">
        <f>D17/L17</f>
        <v>0.68404000000000009</v>
      </c>
      <c r="N17" s="27">
        <f>(H17-$G$27)/$C$27</f>
        <v>2460.3773584905657</v>
      </c>
      <c r="O17" s="27">
        <f>N17/(1+'Escopo de Estudo'!T8+M17)</f>
        <v>283.32174408346413</v>
      </c>
      <c r="P17" s="27">
        <f>O17*'Cadastro de Insumos'!$P$6</f>
        <v>283.32174408346413</v>
      </c>
    </row>
    <row r="18" spans="1:16" ht="22.5" customHeight="1">
      <c r="A18" s="222"/>
      <c r="B18" s="136"/>
      <c r="C18" s="136"/>
      <c r="D18" s="136"/>
      <c r="E18" s="136"/>
      <c r="F18" s="136"/>
      <c r="G18" s="136"/>
      <c r="H18" s="223"/>
    </row>
    <row r="19" spans="1:16" ht="22.5" customHeight="1">
      <c r="A19" s="222" t="str">
        <f>IF('Escopo de Estudo'!AG8="OK",IF('Escopo de Estudo'!X10=TRUE,"Traço A: m = "&amp;'Escopo de Estudo'!X8,"ERRO"))</f>
        <v>Traço A: m = 8</v>
      </c>
      <c r="B19" s="136"/>
      <c r="C19" s="136"/>
      <c r="D19" s="136"/>
      <c r="E19" s="136"/>
      <c r="F19" s="136"/>
      <c r="G19" s="136"/>
      <c r="H19" s="223"/>
      <c r="I19" s="27">
        <f t="shared" si="0"/>
        <v>0</v>
      </c>
    </row>
    <row r="20" spans="1:16" ht="22.5" customHeight="1">
      <c r="A20" s="36" t="s">
        <v>65</v>
      </c>
      <c r="B20" s="37">
        <v>0.51</v>
      </c>
      <c r="C20" s="35" t="s">
        <v>66</v>
      </c>
      <c r="D20" s="38">
        <v>3.5</v>
      </c>
      <c r="E20" s="35" t="s">
        <v>67</v>
      </c>
      <c r="F20" s="39">
        <v>200</v>
      </c>
      <c r="G20" s="35" t="s">
        <v>68</v>
      </c>
      <c r="H20" s="40">
        <v>19.579999999999998</v>
      </c>
      <c r="J20" s="27">
        <f>IF(I19=1,0,IF(OR(B20="",D20="",F20="",H20="")=TRUE,1,0))</f>
        <v>0</v>
      </c>
      <c r="K20" s="27">
        <f>'Escopo de Estudo'!X8-(B20*(1+'Escopo de Estudo'!X8)-1)</f>
        <v>4.41</v>
      </c>
      <c r="L20" s="27">
        <f>'Escopo de Estudo'!$D$30/K20</f>
        <v>4.5351473922902494</v>
      </c>
      <c r="M20" s="27">
        <f>D20/L20</f>
        <v>0.77175000000000005</v>
      </c>
      <c r="N20" s="27">
        <f>(H20-$G$27)/$C$27</f>
        <v>2460.3773584905657</v>
      </c>
      <c r="O20" s="27">
        <f>N20/(1+'Escopo de Estudo'!X8+M20)</f>
        <v>251.7847221317129</v>
      </c>
      <c r="P20" s="27">
        <f>O20*'Cadastro de Insumos'!$P$6</f>
        <v>251.7847221317129</v>
      </c>
    </row>
    <row r="21" spans="1:16" ht="22.5" customHeight="1">
      <c r="A21" s="222"/>
      <c r="B21" s="136"/>
      <c r="C21" s="136"/>
      <c r="D21" s="136"/>
      <c r="E21" s="136"/>
      <c r="F21" s="136"/>
      <c r="G21" s="136"/>
      <c r="H21" s="223"/>
    </row>
    <row r="22" spans="1:16" ht="22.5" customHeight="1">
      <c r="A22" s="222" t="str">
        <f>IF('Escopo de Estudo'!AG8="OK",IF('Escopo de Estudo'!AB10=TRUE,"Traço A: m = "&amp;'Escopo de Estudo'!AB8,"ERRO"))</f>
        <v>Traço A: m = 9</v>
      </c>
      <c r="B22" s="136"/>
      <c r="C22" s="136"/>
      <c r="D22" s="136"/>
      <c r="E22" s="136"/>
      <c r="F22" s="136"/>
      <c r="G22" s="136"/>
      <c r="H22" s="223"/>
      <c r="I22" s="27">
        <f t="shared" si="0"/>
        <v>0</v>
      </c>
    </row>
    <row r="23" spans="1:16" ht="22.5" customHeight="1">
      <c r="A23" s="36" t="s">
        <v>65</v>
      </c>
      <c r="B23" s="37">
        <v>0.51</v>
      </c>
      <c r="C23" s="35" t="s">
        <v>66</v>
      </c>
      <c r="D23" s="38">
        <v>3.58</v>
      </c>
      <c r="E23" s="35" t="s">
        <v>67</v>
      </c>
      <c r="F23" s="39">
        <v>100</v>
      </c>
      <c r="G23" s="35" t="s">
        <v>68</v>
      </c>
      <c r="H23" s="40">
        <v>19.579999999999998</v>
      </c>
      <c r="J23" s="27">
        <f>IF(I22=1,0,IF(OR(B23="",D23="",F23="",H23="")=TRUE,1,0))</f>
        <v>0</v>
      </c>
      <c r="K23" s="27">
        <f>'Escopo de Estudo'!AB8-(B23*(1+'Escopo de Estudo'!AB8)-1)</f>
        <v>4.9000000000000004</v>
      </c>
      <c r="L23" s="27">
        <f>'Escopo de Estudo'!$D$30/K23</f>
        <v>4.0816326530612246</v>
      </c>
      <c r="M23" s="27">
        <f>D23/L23</f>
        <v>0.87709999999999999</v>
      </c>
      <c r="N23" s="27">
        <f>(H23-$G$27)/$C$27</f>
        <v>2460.3773584905657</v>
      </c>
      <c r="O23" s="27">
        <f>N23/(1+'Escopo de Estudo'!AB8+M23)</f>
        <v>226.19791658535507</v>
      </c>
      <c r="P23" s="27">
        <f>O23*'Cadastro de Insumos'!$P$6</f>
        <v>226.19791658535507</v>
      </c>
    </row>
    <row r="24" spans="1:16" ht="22.5" customHeight="1" thickBot="1">
      <c r="A24" s="227"/>
      <c r="B24" s="228"/>
      <c r="C24" s="228"/>
      <c r="D24" s="228"/>
      <c r="E24" s="228"/>
      <c r="F24" s="228"/>
      <c r="G24" s="228"/>
      <c r="H24" s="229"/>
    </row>
    <row r="25" spans="1:16" ht="22.5" customHeight="1" thickBot="1"/>
    <row r="26" spans="1:16" ht="22.5" customHeight="1">
      <c r="A26" s="224" t="s">
        <v>69</v>
      </c>
      <c r="B26" s="225"/>
      <c r="C26" s="225"/>
      <c r="D26" s="225"/>
      <c r="E26" s="225"/>
      <c r="F26" s="225"/>
      <c r="G26" s="225"/>
      <c r="H26" s="226"/>
    </row>
    <row r="27" spans="1:16" ht="22.5" customHeight="1" thickBot="1">
      <c r="A27" s="230" t="s">
        <v>70</v>
      </c>
      <c r="B27" s="231"/>
      <c r="C27" s="232">
        <v>5.3E-3</v>
      </c>
      <c r="D27" s="232"/>
      <c r="E27" s="231" t="s">
        <v>71</v>
      </c>
      <c r="F27" s="231"/>
      <c r="G27" s="232">
        <v>6.54</v>
      </c>
      <c r="H27" s="233"/>
    </row>
    <row r="29" spans="1:16" ht="22.5" customHeight="1">
      <c r="A29" s="136"/>
      <c r="B29" s="136"/>
      <c r="C29" s="136"/>
      <c r="D29" s="136"/>
      <c r="E29" s="136"/>
      <c r="F29" s="136"/>
      <c r="G29" s="136"/>
      <c r="H29" s="136"/>
    </row>
  </sheetData>
  <mergeCells count="21">
    <mergeCell ref="A29:H29"/>
    <mergeCell ref="A13:H13"/>
    <mergeCell ref="A16:H16"/>
    <mergeCell ref="A19:H19"/>
    <mergeCell ref="A24:H24"/>
    <mergeCell ref="A26:H26"/>
    <mergeCell ref="A27:B27"/>
    <mergeCell ref="E27:F27"/>
    <mergeCell ref="C27:D27"/>
    <mergeCell ref="G27:H27"/>
    <mergeCell ref="A1:H2"/>
    <mergeCell ref="A22:H22"/>
    <mergeCell ref="A6:H6"/>
    <mergeCell ref="A9:H9"/>
    <mergeCell ref="A12:H12"/>
    <mergeCell ref="A15:H15"/>
    <mergeCell ref="A18:H18"/>
    <mergeCell ref="A21:H21"/>
    <mergeCell ref="A4:H4"/>
    <mergeCell ref="A7:H7"/>
    <mergeCell ref="A10:H10"/>
  </mergeCells>
  <conditionalFormatting sqref="A1:H2">
    <cfRule type="expression" dxfId="34" priority="1">
      <formula>$J$1="OK"</formula>
    </cfRule>
    <cfRule type="expression" dxfId="33" priority="2">
      <formula>$J$1="ERRO"</formula>
    </cfRule>
  </conditionalFormatting>
  <conditionalFormatting sqref="A4:H5 A6 A7:H8 A9 A10:H11 A12 A13:H14 A15 A16:H17 A18 A19:H20 A21 A22:H23 A24">
    <cfRule type="expression" dxfId="32" priority="3" stopIfTrue="1">
      <formula>$P$1="ERRO"</formula>
    </cfRule>
  </conditionalFormatting>
  <conditionalFormatting sqref="A4:H5 A6">
    <cfRule type="expression" dxfId="31" priority="10">
      <formula>$A$4="ERRO"</formula>
    </cfRule>
  </conditionalFormatting>
  <conditionalFormatting sqref="A7:H8 A9">
    <cfRule type="expression" dxfId="30" priority="9">
      <formula>$A$7="ERRO"</formula>
    </cfRule>
  </conditionalFormatting>
  <conditionalFormatting sqref="A10:H11 A12">
    <cfRule type="expression" dxfId="29" priority="8">
      <formula>$A$10="ERRO"</formula>
    </cfRule>
  </conditionalFormatting>
  <conditionalFormatting sqref="A13:H14 A15">
    <cfRule type="expression" dxfId="28" priority="7">
      <formula>$A$13="ERRO"</formula>
    </cfRule>
  </conditionalFormatting>
  <conditionalFormatting sqref="A16:H17 A18">
    <cfRule type="expression" dxfId="27" priority="6">
      <formula>$A$16="ERRO"</formula>
    </cfRule>
  </conditionalFormatting>
  <conditionalFormatting sqref="A19:H20 A21">
    <cfRule type="expression" dxfId="26" priority="5">
      <formula>$A$19="ERRO"</formula>
    </cfRule>
  </conditionalFormatting>
  <conditionalFormatting sqref="A22:H23 A24">
    <cfRule type="expression" dxfId="25" priority="4">
      <formula>$A$22="ERRO"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7733-EA34-48EE-B414-A6487FE84B06}">
  <dimension ref="A1:W33"/>
  <sheetViews>
    <sheetView workbookViewId="0">
      <selection activeCell="E8" sqref="E8:E9"/>
    </sheetView>
  </sheetViews>
  <sheetFormatPr defaultColWidth="22.875" defaultRowHeight="15.75"/>
  <cols>
    <col min="1" max="16384" width="22.875" style="27"/>
  </cols>
  <sheetData>
    <row r="1" spans="1:23">
      <c r="A1" s="136" t="s">
        <v>72</v>
      </c>
      <c r="B1" s="136"/>
      <c r="C1" s="136"/>
      <c r="D1" s="136"/>
      <c r="E1" s="136"/>
      <c r="F1" s="136"/>
      <c r="G1" s="136"/>
      <c r="H1" s="136"/>
      <c r="I1" s="136"/>
      <c r="J1" s="136"/>
      <c r="L1" s="27" cm="1">
        <f t="array" ref="L1:L7">_xlfn.UNIQUE(CPs[m])</f>
        <v>3</v>
      </c>
    </row>
    <row r="2" spans="1:23">
      <c r="A2" s="136"/>
      <c r="B2" s="136"/>
      <c r="C2" s="136"/>
      <c r="D2" s="136"/>
      <c r="E2" s="136"/>
      <c r="F2" s="136"/>
      <c r="G2" s="136"/>
      <c r="H2" s="136"/>
      <c r="I2" s="136"/>
      <c r="J2" s="136"/>
      <c r="L2" s="27">
        <v>4</v>
      </c>
      <c r="T2" s="27" t="s">
        <v>73</v>
      </c>
      <c r="U2" s="27" t="s">
        <v>74</v>
      </c>
      <c r="W2" s="27" t="s">
        <v>75</v>
      </c>
    </row>
    <row r="3" spans="1:23">
      <c r="A3" s="136"/>
      <c r="B3" s="136"/>
      <c r="C3" s="136"/>
      <c r="D3" s="136"/>
      <c r="E3" s="136"/>
      <c r="F3" s="136"/>
      <c r="G3" s="136"/>
      <c r="H3" s="136"/>
      <c r="I3" s="136"/>
      <c r="J3" s="136"/>
      <c r="L3" s="27">
        <v>5</v>
      </c>
      <c r="T3" s="27" t="s">
        <v>57</v>
      </c>
      <c r="U3" s="27">
        <v>1.2486999999999999</v>
      </c>
      <c r="W3" s="27" t="s">
        <v>76</v>
      </c>
    </row>
    <row r="4" spans="1:23">
      <c r="L4" s="27">
        <v>6</v>
      </c>
      <c r="T4" s="27" t="s">
        <v>77</v>
      </c>
      <c r="U4" s="27">
        <v>0.31830000000000003</v>
      </c>
      <c r="W4" s="27" t="s">
        <v>78</v>
      </c>
    </row>
    <row r="5" spans="1:23">
      <c r="A5" s="27" t="s">
        <v>79</v>
      </c>
      <c r="B5" s="27" t="s">
        <v>80</v>
      </c>
      <c r="C5" s="27" t="s">
        <v>81</v>
      </c>
      <c r="D5" s="27" t="s">
        <v>82</v>
      </c>
      <c r="E5" s="27" t="s">
        <v>83</v>
      </c>
      <c r="F5" s="27" t="s">
        <v>84</v>
      </c>
      <c r="G5" s="27" t="s">
        <v>85</v>
      </c>
      <c r="H5" s="27" t="s">
        <v>86</v>
      </c>
      <c r="I5" s="27" t="s">
        <v>87</v>
      </c>
      <c r="J5" s="27" t="s">
        <v>88</v>
      </c>
      <c r="L5" s="27">
        <v>7</v>
      </c>
      <c r="T5" s="27" t="s">
        <v>89</v>
      </c>
      <c r="U5" s="27">
        <v>9.8100000000000007E-2</v>
      </c>
      <c r="W5" s="27" t="s">
        <v>90</v>
      </c>
    </row>
    <row r="6" spans="1:23">
      <c r="A6" s="27">
        <v>44580</v>
      </c>
      <c r="B6" s="27" t="s">
        <v>57</v>
      </c>
      <c r="C6" s="27">
        <v>3</v>
      </c>
      <c r="D6" s="97">
        <v>45663</v>
      </c>
      <c r="E6" s="27">
        <v>7</v>
      </c>
      <c r="F6" s="97">
        <f>CPs[[#This Row],[Data de Moldagem]]+CPs[[#This Row],[Idade]]</f>
        <v>45670</v>
      </c>
      <c r="G6" s="27">
        <v>47</v>
      </c>
      <c r="H6" s="27" t="s">
        <v>78</v>
      </c>
      <c r="I6" s="98">
        <f>IF(OR(CPs[[#This Row],[Tipo de CP]]="",CPs[[#This Row],[Carga (tonelada)]]="")=TRUE,"",CPs[[#This Row],[Carga (tonelada)]]*VLOOKUP(CPs[[#This Row],[Tipo de CP]],$T$3:$U$5,2,FALSE))</f>
        <v>58.688899999999997</v>
      </c>
      <c r="J6" s="98" t="str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/>
      </c>
      <c r="K6" s="98"/>
      <c r="L6" s="27">
        <v>8</v>
      </c>
      <c r="W6" s="27" t="s">
        <v>91</v>
      </c>
    </row>
    <row r="7" spans="1:23">
      <c r="A7" s="27">
        <v>44581</v>
      </c>
      <c r="B7" s="27" t="s">
        <v>57</v>
      </c>
      <c r="C7" s="27">
        <v>3</v>
      </c>
      <c r="D7" s="97">
        <v>45663</v>
      </c>
      <c r="E7" s="27">
        <v>7</v>
      </c>
      <c r="F7" s="97">
        <f>CPs[[#This Row],[Data de Moldagem]]+CPs[[#This Row],[Idade]]</f>
        <v>45670</v>
      </c>
      <c r="G7" s="27">
        <v>47</v>
      </c>
      <c r="H7" s="27" t="s">
        <v>76</v>
      </c>
      <c r="I7" s="98">
        <f>IF(OR(CPs[[#This Row],[Tipo de CP]]="",CPs[[#This Row],[Carga (tonelada)]]="")=TRUE,"",CPs[[#This Row],[Carga (tonelada)]]*VLOOKUP(CPs[[#This Row],[Tipo de CP]],$T$3:$U$5,2,FALSE))</f>
        <v>58.688899999999997</v>
      </c>
      <c r="J7" s="98" t="str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/>
      </c>
      <c r="K7" s="98"/>
      <c r="L7" s="27">
        <v>9</v>
      </c>
      <c r="W7" s="27" t="s">
        <v>92</v>
      </c>
    </row>
    <row r="8" spans="1:23">
      <c r="A8" s="27">
        <v>44582</v>
      </c>
      <c r="B8" s="27" t="s">
        <v>57</v>
      </c>
      <c r="C8" s="27">
        <v>3</v>
      </c>
      <c r="D8" s="97">
        <v>45663</v>
      </c>
      <c r="E8" s="27">
        <v>28</v>
      </c>
      <c r="F8" s="97">
        <f>CPs[[#This Row],[Data de Moldagem]]+CPs[[#This Row],[Idade]]</f>
        <v>45691</v>
      </c>
      <c r="G8" s="27">
        <v>53</v>
      </c>
      <c r="H8" s="27" t="s">
        <v>78</v>
      </c>
      <c r="I8" s="98">
        <f>IF(OR(CPs[[#This Row],[Tipo de CP]]="",CPs[[#This Row],[Carga (tonelada)]]="")=TRUE,"",CPs[[#This Row],[Carga (tonelada)]]*VLOOKUP(CPs[[#This Row],[Tipo de CP]],$T$3:$U$5,2,FALSE))</f>
        <v>66.181100000000001</v>
      </c>
      <c r="J8" s="98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>8.5639466444108105</v>
      </c>
      <c r="K8" s="98"/>
      <c r="W8" s="27" t="s">
        <v>93</v>
      </c>
    </row>
    <row r="9" spans="1:23">
      <c r="A9" s="27">
        <v>44583</v>
      </c>
      <c r="B9" s="27" t="s">
        <v>57</v>
      </c>
      <c r="C9" s="27">
        <v>3</v>
      </c>
      <c r="D9" s="97">
        <v>45663</v>
      </c>
      <c r="E9" s="27">
        <v>28</v>
      </c>
      <c r="F9" s="97">
        <f>CPs[[#This Row],[Data de Moldagem]]+CPs[[#This Row],[Idade]]</f>
        <v>45691</v>
      </c>
      <c r="G9" s="27">
        <v>53</v>
      </c>
      <c r="H9" s="27" t="s">
        <v>90</v>
      </c>
      <c r="I9" s="98">
        <f>IF(OR(CPs[[#This Row],[Tipo de CP]]="",CPs[[#This Row],[Carga (tonelada)]]="")=TRUE,"",CPs[[#This Row],[Carga (tonelada)]]*VLOOKUP(CPs[[#This Row],[Tipo de CP]],$T$3:$U$5,2,FALSE))</f>
        <v>66.181100000000001</v>
      </c>
      <c r="J9" s="98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>8.5639466444108105</v>
      </c>
      <c r="K9" s="98"/>
      <c r="L9" s="27">
        <f>COUNT(_xlfn.ANCHORARRAY(L1))</f>
        <v>7</v>
      </c>
      <c r="M9" s="27">
        <f>COUNTIFS(CPs[Idade],'Escopo de Estudo'!D36,CPs[Tipo de CP],'Escopo de Estudo'!J36)</f>
        <v>14</v>
      </c>
      <c r="W9" s="27" t="s">
        <v>94</v>
      </c>
    </row>
    <row r="10" spans="1:23">
      <c r="A10" s="27">
        <v>44584</v>
      </c>
      <c r="B10" s="27" t="s">
        <v>57</v>
      </c>
      <c r="C10" s="27">
        <v>4</v>
      </c>
      <c r="D10" s="97">
        <v>45663</v>
      </c>
      <c r="E10" s="27">
        <v>7</v>
      </c>
      <c r="F10" s="97">
        <f>CPs[[#This Row],[Data de Moldagem]]+CPs[[#This Row],[Idade]]</f>
        <v>45670</v>
      </c>
      <c r="G10" s="27">
        <v>34</v>
      </c>
      <c r="H10" s="27" t="s">
        <v>78</v>
      </c>
      <c r="I10" s="98">
        <f>IF(OR(CPs[[#This Row],[Tipo de CP]]="",CPs[[#This Row],[Carga (tonelada)]]="")=TRUE,"",CPs[[#This Row],[Carga (tonelada)]]*VLOOKUP(CPs[[#This Row],[Tipo de CP]],$T$3:$U$5,2,FALSE))</f>
        <v>42.455799999999996</v>
      </c>
      <c r="J10" s="98" t="str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/>
      </c>
      <c r="K10" s="98"/>
      <c r="W10" s="27" t="s">
        <v>95</v>
      </c>
    </row>
    <row r="11" spans="1:23">
      <c r="A11" s="27">
        <v>44585</v>
      </c>
      <c r="B11" s="27" t="s">
        <v>57</v>
      </c>
      <c r="C11" s="27">
        <v>4</v>
      </c>
      <c r="D11" s="97">
        <v>45663</v>
      </c>
      <c r="E11" s="27">
        <v>7</v>
      </c>
      <c r="F11" s="97">
        <f>CPs[[#This Row],[Data de Moldagem]]+CPs[[#This Row],[Idade]]</f>
        <v>45670</v>
      </c>
      <c r="G11" s="27">
        <v>34</v>
      </c>
      <c r="H11" s="27" t="s">
        <v>76</v>
      </c>
      <c r="I11" s="98">
        <f>IF(OR(CPs[[#This Row],[Tipo de CP]]="",CPs[[#This Row],[Carga (tonelada)]]="")=TRUE,"",CPs[[#This Row],[Carga (tonelada)]]*VLOOKUP(CPs[[#This Row],[Tipo de CP]],$T$3:$U$5,2,FALSE))</f>
        <v>42.455799999999996</v>
      </c>
      <c r="J11" s="98" t="str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/>
      </c>
      <c r="K11" s="98"/>
      <c r="L11" s="27" t="str">
        <f>IF(OR(L9&lt;&gt;'Compilado de Dados'!$B$4,M9=0)=TRUE,"ERRO","OK")</f>
        <v>OK</v>
      </c>
      <c r="W11" s="27" t="s">
        <v>96</v>
      </c>
    </row>
    <row r="12" spans="1:23">
      <c r="A12" s="27">
        <v>44586</v>
      </c>
      <c r="B12" s="27" t="s">
        <v>57</v>
      </c>
      <c r="C12" s="27">
        <v>4</v>
      </c>
      <c r="D12" s="97">
        <v>45663</v>
      </c>
      <c r="E12" s="27">
        <v>28</v>
      </c>
      <c r="F12" s="97">
        <f>CPs[[#This Row],[Data de Moldagem]]+CPs[[#This Row],[Idade]]</f>
        <v>45691</v>
      </c>
      <c r="G12" s="27">
        <v>40</v>
      </c>
      <c r="H12" s="27" t="s">
        <v>78</v>
      </c>
      <c r="I12" s="98">
        <f>IF(OR(CPs[[#This Row],[Tipo de CP]]="",CPs[[#This Row],[Carga (tonelada)]]="")=TRUE,"",CPs[[#This Row],[Carga (tonelada)]]*VLOOKUP(CPs[[#This Row],[Tipo de CP]],$T$3:$U$5,2,FALSE))</f>
        <v>49.947999999999993</v>
      </c>
      <c r="J12" s="98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>9.073686630837738</v>
      </c>
      <c r="K12" s="98"/>
    </row>
    <row r="13" spans="1:23">
      <c r="A13" s="27">
        <v>44587</v>
      </c>
      <c r="B13" s="27" t="s">
        <v>57</v>
      </c>
      <c r="C13" s="27">
        <v>4</v>
      </c>
      <c r="D13" s="97">
        <v>45663</v>
      </c>
      <c r="E13" s="27">
        <v>28</v>
      </c>
      <c r="F13" s="97">
        <f>CPs[[#This Row],[Data de Moldagem]]+CPs[[#This Row],[Idade]]</f>
        <v>45691</v>
      </c>
      <c r="G13" s="27">
        <v>40</v>
      </c>
      <c r="H13" s="27" t="s">
        <v>90</v>
      </c>
      <c r="I13" s="98">
        <f>IF(OR(CPs[[#This Row],[Tipo de CP]]="",CPs[[#This Row],[Carga (tonelada)]]="")=TRUE,"",CPs[[#This Row],[Carga (tonelada)]]*VLOOKUP(CPs[[#This Row],[Tipo de CP]],$T$3:$U$5,2,FALSE))</f>
        <v>49.947999999999993</v>
      </c>
      <c r="J13" s="98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>9.073686630837738</v>
      </c>
      <c r="K13" s="98"/>
    </row>
    <row r="14" spans="1:23">
      <c r="A14" s="27">
        <v>44588</v>
      </c>
      <c r="B14" s="27" t="s">
        <v>57</v>
      </c>
      <c r="C14" s="27">
        <v>5</v>
      </c>
      <c r="D14" s="97">
        <v>45663</v>
      </c>
      <c r="E14" s="27">
        <v>7</v>
      </c>
      <c r="F14" s="97">
        <f>CPs[[#This Row],[Data de Moldagem]]+CPs[[#This Row],[Idade]]</f>
        <v>45670</v>
      </c>
      <c r="G14" s="27">
        <v>28</v>
      </c>
      <c r="H14" s="27" t="s">
        <v>78</v>
      </c>
      <c r="I14" s="98">
        <f>IF(OR(CPs[[#This Row],[Tipo de CP]]="",CPs[[#This Row],[Carga (tonelada)]]="")=TRUE,"",CPs[[#This Row],[Carga (tonelada)]]*VLOOKUP(CPs[[#This Row],[Tipo de CP]],$T$3:$U$5,2,FALSE))</f>
        <v>34.9636</v>
      </c>
      <c r="J14" s="98" t="str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/>
      </c>
      <c r="K14" s="98"/>
    </row>
    <row r="15" spans="1:23">
      <c r="A15" s="27">
        <v>44589</v>
      </c>
      <c r="B15" s="27" t="s">
        <v>57</v>
      </c>
      <c r="C15" s="27">
        <v>5</v>
      </c>
      <c r="D15" s="97">
        <v>45663</v>
      </c>
      <c r="E15" s="27">
        <v>7</v>
      </c>
      <c r="F15" s="97">
        <f>CPs[[#This Row],[Data de Moldagem]]+CPs[[#This Row],[Idade]]</f>
        <v>45670</v>
      </c>
      <c r="G15" s="27">
        <v>28</v>
      </c>
      <c r="H15" s="27" t="s">
        <v>76</v>
      </c>
      <c r="I15" s="98">
        <f>IF(OR(CPs[[#This Row],[Tipo de CP]]="",CPs[[#This Row],[Carga (tonelada)]]="")=TRUE,"",CPs[[#This Row],[Carga (tonelada)]]*VLOOKUP(CPs[[#This Row],[Tipo de CP]],$T$3:$U$5,2,FALSE))</f>
        <v>34.9636</v>
      </c>
      <c r="J15" s="98" t="str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/>
      </c>
      <c r="K15" s="98"/>
    </row>
    <row r="16" spans="1:23">
      <c r="A16" s="27">
        <v>44590</v>
      </c>
      <c r="B16" s="27" t="s">
        <v>57</v>
      </c>
      <c r="C16" s="27">
        <v>5</v>
      </c>
      <c r="D16" s="97">
        <v>45663</v>
      </c>
      <c r="E16" s="27">
        <v>28</v>
      </c>
      <c r="F16" s="97">
        <f>CPs[[#This Row],[Data de Moldagem]]+CPs[[#This Row],[Idade]]</f>
        <v>45691</v>
      </c>
      <c r="G16" s="27">
        <v>36</v>
      </c>
      <c r="H16" s="27" t="s">
        <v>78</v>
      </c>
      <c r="I16" s="98">
        <f>IF(OR(CPs[[#This Row],[Tipo de CP]]="",CPs[[#This Row],[Carga (tonelada)]]="")=TRUE,"",CPs[[#This Row],[Carga (tonelada)]]*VLOOKUP(CPs[[#This Row],[Tipo de CP]],$T$3:$U$5,2,FALSE))</f>
        <v>44.953199999999995</v>
      </c>
      <c r="J16" s="98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>8.4129520147796271</v>
      </c>
      <c r="K16" s="98"/>
    </row>
    <row r="17" spans="1:11">
      <c r="A17" s="27">
        <v>44591</v>
      </c>
      <c r="B17" s="27" t="s">
        <v>57</v>
      </c>
      <c r="C17" s="27">
        <v>5</v>
      </c>
      <c r="D17" s="97">
        <v>45663</v>
      </c>
      <c r="E17" s="27">
        <v>28</v>
      </c>
      <c r="F17" s="97">
        <f>CPs[[#This Row],[Data de Moldagem]]+CPs[[#This Row],[Idade]]</f>
        <v>45691</v>
      </c>
      <c r="G17" s="27">
        <v>36</v>
      </c>
      <c r="H17" s="27" t="s">
        <v>90</v>
      </c>
      <c r="I17" s="98">
        <f>IF(OR(CPs[[#This Row],[Tipo de CP]]="",CPs[[#This Row],[Carga (tonelada)]]="")=TRUE,"",CPs[[#This Row],[Carga (tonelada)]]*VLOOKUP(CPs[[#This Row],[Tipo de CP]],$T$3:$U$5,2,FALSE))</f>
        <v>44.953199999999995</v>
      </c>
      <c r="J17" s="98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>8.4129520147796271</v>
      </c>
      <c r="K17" s="98"/>
    </row>
    <row r="18" spans="1:11">
      <c r="A18" s="27">
        <v>44592</v>
      </c>
      <c r="B18" s="27" t="s">
        <v>57</v>
      </c>
      <c r="C18" s="27">
        <v>6</v>
      </c>
      <c r="D18" s="97">
        <v>45663</v>
      </c>
      <c r="E18" s="27">
        <v>7</v>
      </c>
      <c r="F18" s="97">
        <f>CPs[[#This Row],[Data de Moldagem]]+CPs[[#This Row],[Idade]]</f>
        <v>45670</v>
      </c>
      <c r="G18" s="27">
        <v>21</v>
      </c>
      <c r="H18" s="27" t="s">
        <v>78</v>
      </c>
      <c r="I18" s="98">
        <f>IF(OR(CPs[[#This Row],[Tipo de CP]]="",CPs[[#This Row],[Carga (tonelada)]]="")=TRUE,"",CPs[[#This Row],[Carga (tonelada)]]*VLOOKUP(CPs[[#This Row],[Tipo de CP]],$T$3:$U$5,2,FALSE))</f>
        <v>26.2227</v>
      </c>
      <c r="J18" s="98" t="str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/>
      </c>
      <c r="K18" s="98"/>
    </row>
    <row r="19" spans="1:11">
      <c r="A19" s="27">
        <v>44593</v>
      </c>
      <c r="B19" s="27" t="s">
        <v>57</v>
      </c>
      <c r="C19" s="27">
        <v>6</v>
      </c>
      <c r="D19" s="97">
        <v>45663</v>
      </c>
      <c r="E19" s="27">
        <v>7</v>
      </c>
      <c r="F19" s="97">
        <f>CPs[[#This Row],[Data de Moldagem]]+CPs[[#This Row],[Idade]]</f>
        <v>45670</v>
      </c>
      <c r="G19" s="27">
        <v>21</v>
      </c>
      <c r="H19" s="27" t="s">
        <v>76</v>
      </c>
      <c r="I19" s="98">
        <f>IF(OR(CPs[[#This Row],[Tipo de CP]]="",CPs[[#This Row],[Carga (tonelada)]]="")=TRUE,"",CPs[[#This Row],[Carga (tonelada)]]*VLOOKUP(CPs[[#This Row],[Tipo de CP]],$T$3:$U$5,2,FALSE))</f>
        <v>26.2227</v>
      </c>
      <c r="J19" s="98" t="str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/>
      </c>
      <c r="K19" s="98"/>
    </row>
    <row r="20" spans="1:11">
      <c r="A20" s="27">
        <v>44594</v>
      </c>
      <c r="B20" s="27" t="s">
        <v>57</v>
      </c>
      <c r="C20" s="27">
        <v>6</v>
      </c>
      <c r="D20" s="97">
        <v>45663</v>
      </c>
      <c r="E20" s="27">
        <v>28</v>
      </c>
      <c r="F20" s="97">
        <f>CPs[[#This Row],[Data de Moldagem]]+CPs[[#This Row],[Idade]]</f>
        <v>45691</v>
      </c>
      <c r="G20" s="27">
        <v>24.71</v>
      </c>
      <c r="H20" s="27" t="s">
        <v>78</v>
      </c>
      <c r="I20" s="98">
        <f>IF(OR(CPs[[#This Row],[Tipo de CP]]="",CPs[[#This Row],[Carga (tonelada)]]="")=TRUE,"",CPs[[#This Row],[Carga (tonelada)]]*VLOOKUP(CPs[[#This Row],[Tipo de CP]],$T$3:$U$5,2,FALSE))</f>
        <v>30.855377000000001</v>
      </c>
      <c r="J20" s="98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>10.491630491805211</v>
      </c>
      <c r="K20" s="98"/>
    </row>
    <row r="21" spans="1:11">
      <c r="A21" s="27">
        <v>44595</v>
      </c>
      <c r="B21" s="27" t="s">
        <v>57</v>
      </c>
      <c r="C21" s="27">
        <v>6</v>
      </c>
      <c r="D21" s="97">
        <v>45663</v>
      </c>
      <c r="E21" s="27">
        <v>28</v>
      </c>
      <c r="F21" s="97">
        <f>CPs[[#This Row],[Data de Moldagem]]+CPs[[#This Row],[Idade]]</f>
        <v>45691</v>
      </c>
      <c r="G21" s="27">
        <v>24.71</v>
      </c>
      <c r="H21" s="27" t="s">
        <v>90</v>
      </c>
      <c r="I21" s="98">
        <f>IF(OR(CPs[[#This Row],[Tipo de CP]]="",CPs[[#This Row],[Carga (tonelada)]]="")=TRUE,"",CPs[[#This Row],[Carga (tonelada)]]*VLOOKUP(CPs[[#This Row],[Tipo de CP]],$T$3:$U$5,2,FALSE))</f>
        <v>30.855377000000001</v>
      </c>
      <c r="J21" s="98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>10.491630491805211</v>
      </c>
      <c r="K21" s="98"/>
    </row>
    <row r="22" spans="1:11">
      <c r="A22" s="27">
        <v>44596</v>
      </c>
      <c r="B22" s="27" t="s">
        <v>57</v>
      </c>
      <c r="C22" s="27">
        <v>7</v>
      </c>
      <c r="D22" s="97">
        <v>45663</v>
      </c>
      <c r="E22" s="27">
        <v>7</v>
      </c>
      <c r="F22" s="97">
        <f>CPs[[#This Row],[Data de Moldagem]]+CPs[[#This Row],[Idade]]</f>
        <v>45670</v>
      </c>
      <c r="G22" s="27">
        <v>18</v>
      </c>
      <c r="H22" s="27" t="s">
        <v>78</v>
      </c>
      <c r="I22" s="98">
        <f>IF(OR(CPs[[#This Row],[Tipo de CP]]="",CPs[[#This Row],[Carga (tonelada)]]="")=TRUE,"",CPs[[#This Row],[Carga (tonelada)]]*VLOOKUP(CPs[[#This Row],[Tipo de CP]],$T$3:$U$5,2,FALSE))</f>
        <v>22.476599999999998</v>
      </c>
      <c r="J22" s="98" t="str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/>
      </c>
      <c r="K22" s="98"/>
    </row>
    <row r="23" spans="1:11">
      <c r="A23" s="27">
        <v>44597</v>
      </c>
      <c r="B23" s="27" t="s">
        <v>57</v>
      </c>
      <c r="C23" s="27">
        <v>7</v>
      </c>
      <c r="D23" s="97">
        <v>45663</v>
      </c>
      <c r="E23" s="27">
        <v>7</v>
      </c>
      <c r="F23" s="97">
        <f>CPs[[#This Row],[Data de Moldagem]]+CPs[[#This Row],[Idade]]</f>
        <v>45670</v>
      </c>
      <c r="G23" s="27">
        <v>18</v>
      </c>
      <c r="H23" s="27" t="s">
        <v>76</v>
      </c>
      <c r="I23" s="98">
        <f>IF(OR(CPs[[#This Row],[Tipo de CP]]="",CPs[[#This Row],[Carga (tonelada)]]="")=TRUE,"",CPs[[#This Row],[Carga (tonelada)]]*VLOOKUP(CPs[[#This Row],[Tipo de CP]],$T$3:$U$5,2,FALSE))</f>
        <v>22.476599999999998</v>
      </c>
      <c r="J23" s="98" t="str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/>
      </c>
      <c r="K23" s="98"/>
    </row>
    <row r="24" spans="1:11">
      <c r="A24" s="27">
        <v>44598</v>
      </c>
      <c r="B24" s="27" t="s">
        <v>57</v>
      </c>
      <c r="C24" s="27">
        <v>7</v>
      </c>
      <c r="D24" s="97">
        <v>45663</v>
      </c>
      <c r="E24" s="27">
        <v>28</v>
      </c>
      <c r="F24" s="97">
        <f>CPs[[#This Row],[Data de Moldagem]]+CPs[[#This Row],[Idade]]</f>
        <v>45691</v>
      </c>
      <c r="G24" s="27">
        <v>21</v>
      </c>
      <c r="H24" s="27" t="s">
        <v>78</v>
      </c>
      <c r="I24" s="98">
        <f>IF(OR(CPs[[#This Row],[Tipo de CP]]="",CPs[[#This Row],[Carga (tonelada)]]="")=TRUE,"",CPs[[#This Row],[Carga (tonelada)]]*VLOOKUP(CPs[[#This Row],[Tipo de CP]],$T$3:$U$5,2,FALSE))</f>
        <v>26.2227</v>
      </c>
      <c r="J24" s="98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>10.804445922176745</v>
      </c>
      <c r="K24" s="98"/>
    </row>
    <row r="25" spans="1:11">
      <c r="A25" s="27">
        <v>44599</v>
      </c>
      <c r="B25" s="27" t="s">
        <v>57</v>
      </c>
      <c r="C25" s="27">
        <v>7</v>
      </c>
      <c r="D25" s="97">
        <v>45663</v>
      </c>
      <c r="E25" s="27">
        <v>28</v>
      </c>
      <c r="F25" s="97">
        <f>CPs[[#This Row],[Data de Moldagem]]+CPs[[#This Row],[Idade]]</f>
        <v>45691</v>
      </c>
      <c r="G25" s="27">
        <v>21</v>
      </c>
      <c r="H25" s="27" t="s">
        <v>90</v>
      </c>
      <c r="I25" s="98">
        <f>IF(OR(CPs[[#This Row],[Tipo de CP]]="",CPs[[#This Row],[Carga (tonelada)]]="")=TRUE,"",CPs[[#This Row],[Carga (tonelada)]]*VLOOKUP(CPs[[#This Row],[Tipo de CP]],$T$3:$U$5,2,FALSE))</f>
        <v>26.2227</v>
      </c>
      <c r="J25" s="98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>10.804445922176745</v>
      </c>
      <c r="K25" s="98"/>
    </row>
    <row r="26" spans="1:11">
      <c r="A26" s="27">
        <v>44600</v>
      </c>
      <c r="B26" s="27" t="s">
        <v>57</v>
      </c>
      <c r="C26" s="27">
        <v>8</v>
      </c>
      <c r="D26" s="97">
        <v>45663</v>
      </c>
      <c r="E26" s="27">
        <v>7</v>
      </c>
      <c r="F26" s="97">
        <f>CPs[[#This Row],[Data de Moldagem]]+CPs[[#This Row],[Idade]]</f>
        <v>45670</v>
      </c>
      <c r="G26" s="27">
        <v>15</v>
      </c>
      <c r="H26" s="27" t="s">
        <v>78</v>
      </c>
      <c r="I26" s="98">
        <f>IF(OR(CPs[[#This Row],[Tipo de CP]]="",CPs[[#This Row],[Carga (tonelada)]]="")=TRUE,"",CPs[[#This Row],[Carga (tonelada)]]*VLOOKUP(CPs[[#This Row],[Tipo de CP]],$T$3:$U$5,2,FALSE))</f>
        <v>18.730499999999999</v>
      </c>
      <c r="J26" s="98" t="str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/>
      </c>
      <c r="K26" s="98"/>
    </row>
    <row r="27" spans="1:11">
      <c r="A27" s="27">
        <v>44601</v>
      </c>
      <c r="B27" s="27" t="s">
        <v>57</v>
      </c>
      <c r="C27" s="27">
        <v>8</v>
      </c>
      <c r="D27" s="97">
        <v>45663</v>
      </c>
      <c r="E27" s="27">
        <v>7</v>
      </c>
      <c r="F27" s="97">
        <f>CPs[[#This Row],[Data de Moldagem]]+CPs[[#This Row],[Idade]]</f>
        <v>45670</v>
      </c>
      <c r="G27" s="27">
        <v>15</v>
      </c>
      <c r="H27" s="27" t="s">
        <v>76</v>
      </c>
      <c r="I27" s="98">
        <f>IF(OR(CPs[[#This Row],[Tipo de CP]]="",CPs[[#This Row],[Carga (tonelada)]]="")=TRUE,"",CPs[[#This Row],[Carga (tonelada)]]*VLOOKUP(CPs[[#This Row],[Tipo de CP]],$T$3:$U$5,2,FALSE))</f>
        <v>18.730499999999999</v>
      </c>
      <c r="J27" s="98" t="str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/>
      </c>
      <c r="K27" s="98"/>
    </row>
    <row r="28" spans="1:11">
      <c r="A28" s="27">
        <v>44602</v>
      </c>
      <c r="B28" s="27" t="s">
        <v>57</v>
      </c>
      <c r="C28" s="27">
        <v>8</v>
      </c>
      <c r="D28" s="97">
        <v>45663</v>
      </c>
      <c r="E28" s="27">
        <v>28</v>
      </c>
      <c r="F28" s="97">
        <f>CPs[[#This Row],[Data de Moldagem]]+CPs[[#This Row],[Idade]]</f>
        <v>45691</v>
      </c>
      <c r="G28" s="27">
        <v>17.649999999999999</v>
      </c>
      <c r="H28" s="27" t="s">
        <v>78</v>
      </c>
      <c r="I28" s="98">
        <f>IF(OR(CPs[[#This Row],[Tipo de CP]]="",CPs[[#This Row],[Carga (tonelada)]]="")=TRUE,"",CPs[[#This Row],[Carga (tonelada)]]*VLOOKUP(CPs[[#This Row],[Tipo de CP]],$T$3:$U$5,2,FALSE))</f>
        <v>22.039554999999996</v>
      </c>
      <c r="J28" s="98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>11.424219868854564</v>
      </c>
      <c r="K28" s="98"/>
    </row>
    <row r="29" spans="1:11">
      <c r="A29" s="27">
        <v>44603</v>
      </c>
      <c r="B29" s="27" t="s">
        <v>57</v>
      </c>
      <c r="C29" s="27">
        <v>8</v>
      </c>
      <c r="D29" s="97">
        <v>45663</v>
      </c>
      <c r="E29" s="27">
        <v>28</v>
      </c>
      <c r="F29" s="97">
        <f>CPs[[#This Row],[Data de Moldagem]]+CPs[[#This Row],[Idade]]</f>
        <v>45691</v>
      </c>
      <c r="G29" s="27">
        <v>17.649999999999999</v>
      </c>
      <c r="H29" s="27" t="s">
        <v>90</v>
      </c>
      <c r="I29" s="98">
        <f>IF(OR(CPs[[#This Row],[Tipo de CP]]="",CPs[[#This Row],[Carga (tonelada)]]="")=TRUE,"",CPs[[#This Row],[Carga (tonelada)]]*VLOOKUP(CPs[[#This Row],[Tipo de CP]],$T$3:$U$5,2,FALSE))</f>
        <v>22.039554999999996</v>
      </c>
      <c r="J29" s="98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>11.424219868854564</v>
      </c>
      <c r="K29" s="98"/>
    </row>
    <row r="30" spans="1:11">
      <c r="A30" s="27">
        <v>44604</v>
      </c>
      <c r="B30" s="27" t="s">
        <v>57</v>
      </c>
      <c r="C30" s="27">
        <v>9</v>
      </c>
      <c r="D30" s="97">
        <v>45663</v>
      </c>
      <c r="E30" s="27">
        <v>7</v>
      </c>
      <c r="F30" s="97">
        <f>CPs[[#This Row],[Data de Moldagem]]+CPs[[#This Row],[Idade]]</f>
        <v>45670</v>
      </c>
      <c r="G30" s="27">
        <v>9</v>
      </c>
      <c r="H30" s="27" t="s">
        <v>78</v>
      </c>
      <c r="I30" s="98">
        <f>IF(OR(CPs[[#This Row],[Tipo de CP]]="",CPs[[#This Row],[Carga (tonelada)]]="")=TRUE,"",CPs[[#This Row],[Carga (tonelada)]]*VLOOKUP(CPs[[#This Row],[Tipo de CP]],$T$3:$U$5,2,FALSE))</f>
        <v>11.238299999999999</v>
      </c>
      <c r="J30" s="98" t="str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/>
      </c>
      <c r="K30" s="98"/>
    </row>
    <row r="31" spans="1:11">
      <c r="A31" s="27">
        <v>44605</v>
      </c>
      <c r="B31" s="27" t="s">
        <v>57</v>
      </c>
      <c r="C31" s="27">
        <v>9</v>
      </c>
      <c r="D31" s="97">
        <v>45663</v>
      </c>
      <c r="E31" s="27">
        <v>7</v>
      </c>
      <c r="F31" s="97">
        <f>CPs[[#This Row],[Data de Moldagem]]+CPs[[#This Row],[Idade]]</f>
        <v>45670</v>
      </c>
      <c r="G31" s="27">
        <v>9</v>
      </c>
      <c r="H31" s="27" t="s">
        <v>76</v>
      </c>
      <c r="I31" s="98">
        <f>IF(OR(CPs[[#This Row],[Tipo de CP]]="",CPs[[#This Row],[Carga (tonelada)]]="")=TRUE,"",CPs[[#This Row],[Carga (tonelada)]]*VLOOKUP(CPs[[#This Row],[Tipo de CP]],$T$3:$U$5,2,FALSE))</f>
        <v>11.238299999999999</v>
      </c>
      <c r="J31" s="98" t="str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/>
      </c>
      <c r="K31" s="98"/>
    </row>
    <row r="32" spans="1:11">
      <c r="A32" s="27">
        <v>44606</v>
      </c>
      <c r="B32" s="27" t="s">
        <v>57</v>
      </c>
      <c r="C32" s="27">
        <v>9</v>
      </c>
      <c r="D32" s="97">
        <v>45663</v>
      </c>
      <c r="E32" s="27">
        <v>28</v>
      </c>
      <c r="F32" s="97">
        <f>CPs[[#This Row],[Data de Moldagem]]+CPs[[#This Row],[Idade]]</f>
        <v>45691</v>
      </c>
      <c r="G32" s="27">
        <v>12</v>
      </c>
      <c r="H32" s="27" t="s">
        <v>78</v>
      </c>
      <c r="I32" s="98">
        <f>IF(OR(CPs[[#This Row],[Tipo de CP]]="",CPs[[#This Row],[Carga (tonelada)]]="")=TRUE,"",CPs[[#This Row],[Carga (tonelada)]]*VLOOKUP(CPs[[#This Row],[Tipo de CP]],$T$3:$U$5,2,FALSE))</f>
        <v>14.984399999999999</v>
      </c>
      <c r="J32" s="98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>15.095560488598482</v>
      </c>
      <c r="K32" s="98"/>
    </row>
    <row r="33" spans="1:11">
      <c r="A33" s="27">
        <v>44607</v>
      </c>
      <c r="B33" s="27" t="s">
        <v>57</v>
      </c>
      <c r="C33" s="27">
        <v>9</v>
      </c>
      <c r="D33" s="97">
        <v>45663</v>
      </c>
      <c r="E33" s="27">
        <v>28</v>
      </c>
      <c r="F33" s="97">
        <f>CPs[[#This Row],[Data de Moldagem]]+CPs[[#This Row],[Idade]]</f>
        <v>45691</v>
      </c>
      <c r="G33" s="27">
        <v>12</v>
      </c>
      <c r="H33" s="27" t="s">
        <v>90</v>
      </c>
      <c r="I33" s="98">
        <f>IF(OR(CPs[[#This Row],[Tipo de CP]]="",CPs[[#This Row],[Carga (tonelada)]]="")=TRUE,"",CPs[[#This Row],[Carga (tonelada)]]*VLOOKUP(CPs[[#This Row],[Tipo de CP]],$T$3:$U$5,2,FALSE))</f>
        <v>14.984399999999999</v>
      </c>
      <c r="J33" s="98">
        <f>IF(OR(CPs[[#This Row],[Idade]]&lt;&gt;'Escopo de Estudo'!$D$36,CPs[[#This Row],[Tipo de CP]]&lt;&gt;'Escopo de Estudo'!$J$36)=TRUE,"",IF(OR(CPs[[#This Row],[Fcj (MPa)]]="",CPs[[#This Row],[m]]="")=TRUE,"",VLOOKUP(CPs[[#This Row],[m]],'Compilado de Dados'!$B$7:$D$13,3,FALSE)/CPs[[#This Row],[Fcj (MPa)]]))</f>
        <v>15.095560488598482</v>
      </c>
      <c r="K33" s="98"/>
    </row>
  </sheetData>
  <mergeCells count="1">
    <mergeCell ref="A1:J3"/>
  </mergeCells>
  <conditionalFormatting sqref="A1:J3">
    <cfRule type="expression" dxfId="24" priority="1">
      <formula>$L$11="ERRO"</formula>
    </cfRule>
    <cfRule type="expression" dxfId="23" priority="2">
      <formula>$L$11="OK"</formula>
    </cfRule>
  </conditionalFormatting>
  <dataValidations count="2">
    <dataValidation type="list" allowBlank="1" showInputMessage="1" showErrorMessage="1" sqref="B6:B33" xr:uid="{CBC4C300-C0C1-4CC5-9F1F-16C86599865E}">
      <formula1>T3:T5</formula1>
    </dataValidation>
    <dataValidation type="list" allowBlank="1" showInputMessage="1" showErrorMessage="1" sqref="H6:H33" xr:uid="{B54890E7-59A3-4F65-A190-4D84659BE411}">
      <formula1>$W$3:$W$11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33ED2A-7AB1-4FF6-BEF6-AB913EAEEB7E}">
          <x14:formula1>
            <xm:f>'Compilado de Dados'!$B$7:$B$13</xm:f>
          </x14:formula1>
          <xm:sqref>C6:C33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3DBB-F15F-4AA1-A347-C6BB8875B605}">
  <dimension ref="B6:B7"/>
  <sheetViews>
    <sheetView tabSelected="1" zoomScale="70" zoomScaleNormal="70" workbookViewId="0">
      <selection activeCell="AJ15" sqref="AJ15"/>
    </sheetView>
  </sheetViews>
  <sheetFormatPr defaultRowHeight="14.25"/>
  <cols>
    <col min="2" max="2" width="26.125" bestFit="1" customWidth="1"/>
  </cols>
  <sheetData>
    <row r="6" spans="2:2">
      <c r="B6" t="s">
        <v>97</v>
      </c>
    </row>
    <row r="7" spans="2:2">
      <c r="B7">
        <v>20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B76E-1120-40F7-989B-BC5C366B7855}">
  <dimension ref="A4:BL107"/>
  <sheetViews>
    <sheetView topLeftCell="A20" zoomScale="85" zoomScaleNormal="85" workbookViewId="0">
      <selection activeCell="L48" sqref="L48:L54"/>
    </sheetView>
  </sheetViews>
  <sheetFormatPr defaultColWidth="9.125" defaultRowHeight="15"/>
  <cols>
    <col min="1" max="3" width="9.125" style="19"/>
    <col min="4" max="4" width="14.625" style="19" customWidth="1"/>
    <col min="5" max="5" width="18.125" style="19" customWidth="1"/>
    <col min="6" max="7" width="15.375" style="19" customWidth="1"/>
    <col min="8" max="8" width="9.125" style="19"/>
    <col min="9" max="9" width="13.25" style="19" bestFit="1" customWidth="1"/>
    <col min="10" max="11" width="9.125" style="19"/>
    <col min="12" max="12" width="15.25" style="19" bestFit="1" customWidth="1"/>
    <col min="13" max="24" width="9.125" style="19"/>
    <col min="25" max="25" width="12.375" style="19" bestFit="1" customWidth="1"/>
    <col min="26" max="27" width="9.125" style="19"/>
    <col min="28" max="37" width="10.625" style="19" customWidth="1"/>
    <col min="38" max="38" width="17.375" style="19" bestFit="1" customWidth="1"/>
    <col min="39" max="40" width="9.125" style="19"/>
    <col min="41" max="41" width="16" style="19" bestFit="1" customWidth="1"/>
    <col min="42" max="50" width="9.125" style="19"/>
    <col min="51" max="51" width="16" style="19" bestFit="1" customWidth="1"/>
    <col min="52" max="53" width="9.125" style="19"/>
    <col min="54" max="54" width="15.75" style="19" bestFit="1" customWidth="1"/>
    <col min="55" max="16384" width="9.125" style="19"/>
  </cols>
  <sheetData>
    <row r="4" spans="1:8">
      <c r="B4" s="19">
        <f>COUNT(B7:B13)</f>
        <v>7</v>
      </c>
    </row>
    <row r="5" spans="1:8" ht="30" customHeight="1">
      <c r="A5" s="243" t="s">
        <v>98</v>
      </c>
      <c r="B5" s="241" t="s">
        <v>81</v>
      </c>
      <c r="C5" s="244" t="s">
        <v>99</v>
      </c>
      <c r="D5" s="246" t="s">
        <v>100</v>
      </c>
      <c r="E5" s="246" t="s">
        <v>101</v>
      </c>
      <c r="F5" s="246" t="s">
        <v>102</v>
      </c>
      <c r="G5" s="246" t="s">
        <v>103</v>
      </c>
      <c r="H5" s="246" t="s">
        <v>104</v>
      </c>
    </row>
    <row r="6" spans="1:8" ht="30" customHeight="1">
      <c r="A6" s="243"/>
      <c r="B6" s="242"/>
      <c r="C6" s="245"/>
      <c r="D6" s="246"/>
      <c r="E6" s="246"/>
      <c r="F6" s="246"/>
      <c r="G6" s="246"/>
      <c r="H6" s="246"/>
    </row>
    <row r="7" spans="1:8">
      <c r="A7" s="19">
        <v>1</v>
      </c>
      <c r="B7" s="77">
        <f>IF('Escopo de Estudo'!AG8="OK",IF('Escopo de Estudo'!D10=TRUE,'Escopo de Estudo'!D8,""))</f>
        <v>3</v>
      </c>
      <c r="C7" s="78">
        <f>IF(B7="","",'Dados - Fase Plástica'!M5)</f>
        <v>0.34104000000000001</v>
      </c>
      <c r="D7" s="41">
        <f>IF(B7="","",'Dados - Fase Plástica'!O5)</f>
        <v>566.77140926841628</v>
      </c>
      <c r="E7" s="41">
        <f>IF(B7="","",'Dados - Fase Plástica'!P5)</f>
        <v>566.77140926841628</v>
      </c>
      <c r="F7" s="99">
        <f>AVERAGEIFS(CPs[Fcj (MPa)],CPs[Idade],'Escopo de Estudo'!$D$36,CPs[Tipo de CP],'Escopo de Estudo'!$J$36,CPs[m],B7)</f>
        <v>66.181100000000001</v>
      </c>
      <c r="G7" s="99">
        <f>AVERAGEIFS(CPs[Índice de Eficiência],CPs[Idade],'Escopo de Estudo'!$D$36,CPs[Tipo de CP],'Escopo de Estudo'!$J$36,CPs[m],B7)</f>
        <v>8.5639466444108105</v>
      </c>
      <c r="H7" s="41">
        <f>IF(B7="","",'Dados - Fase Plástica'!F5)</f>
        <v>200</v>
      </c>
    </row>
    <row r="8" spans="1:8">
      <c r="A8" s="19">
        <v>2</v>
      </c>
      <c r="B8" s="77">
        <f>IF('Escopo de Estudo'!AG8="OK",IF('Escopo de Estudo'!H10=TRUE,'Escopo de Estudo'!H8,""))</f>
        <v>4</v>
      </c>
      <c r="C8" s="78">
        <f>IF(B8="","",'Dados - Fase Plástica'!M8)</f>
        <v>0.42874999999999996</v>
      </c>
      <c r="D8" s="41">
        <f>IF(B8="","",'Dados - Fase Plástica'!O8)</f>
        <v>453.21249983708327</v>
      </c>
      <c r="E8" s="41">
        <f>IF(B8="","",'Dados - Fase Plástica'!P8)</f>
        <v>453.21249983708327</v>
      </c>
      <c r="F8" s="99">
        <f>AVERAGEIFS(CPs[Fcj (MPa)],CPs[Idade],'Escopo de Estudo'!$D$36,CPs[Tipo de CP],'Escopo de Estudo'!$J$36,CPs[m],B8)</f>
        <v>49.947999999999993</v>
      </c>
      <c r="G8" s="99">
        <f>AVERAGEIFS(CPs[Índice de Eficiência],CPs[Idade],'Escopo de Estudo'!$D$36,CPs[Tipo de CP],'Escopo de Estudo'!$J$36,CPs[m],B8)</f>
        <v>9.073686630837738</v>
      </c>
      <c r="H8" s="41">
        <f>IF(B8="","",'Dados - Fase Plástica'!F8)</f>
        <v>200</v>
      </c>
    </row>
    <row r="9" spans="1:8">
      <c r="A9" s="19">
        <v>3</v>
      </c>
      <c r="B9" s="77">
        <f>IF('Escopo de Estudo'!AG8="OK",IF('Escopo de Estudo'!L10=TRUE,'Escopo de Estudo'!L8,""))</f>
        <v>5</v>
      </c>
      <c r="C9" s="78">
        <f>IF(B9="","",'Dados - Fase Plástica'!M11)</f>
        <v>0.50567999999999991</v>
      </c>
      <c r="D9" s="41">
        <f>IF(B9="","",'Dados - Fase Plástica'!O11)</f>
        <v>378.18911451079146</v>
      </c>
      <c r="E9" s="41">
        <f>IF(B9="","",'Dados - Fase Plástica'!P11)</f>
        <v>378.18911451079146</v>
      </c>
      <c r="F9" s="99">
        <f>AVERAGEIFS(CPs[Fcj (MPa)],CPs[Idade],'Escopo de Estudo'!$D$36,CPs[Tipo de CP],'Escopo de Estudo'!$J$36,CPs[m],B9)</f>
        <v>44.953199999999995</v>
      </c>
      <c r="G9" s="99">
        <f>AVERAGEIFS(CPs[Índice de Eficiência],CPs[Idade],'Escopo de Estudo'!$D$36,CPs[Tipo de CP],'Escopo de Estudo'!$J$36,CPs[m],B9)</f>
        <v>8.4129520147796271</v>
      </c>
      <c r="H9" s="41">
        <f>IF(B9="","",'Dados - Fase Plástica'!F11)</f>
        <v>200</v>
      </c>
    </row>
    <row r="10" spans="1:8">
      <c r="A10" s="19">
        <v>4</v>
      </c>
      <c r="B10" s="77">
        <f>IF('Escopo de Estudo'!AG8="OK",IF('Escopo de Estudo'!P10=TRUE,'Escopo de Estudo'!P8,""))</f>
        <v>6</v>
      </c>
      <c r="C10" s="78">
        <f>IF(B10="","",'Dados - Fase Plástica'!M14)</f>
        <v>0.60024999999999995</v>
      </c>
      <c r="D10" s="41">
        <f>IF(B10="","",'Dados - Fase Plástica'!O14)</f>
        <v>323.72321416934517</v>
      </c>
      <c r="E10" s="41">
        <f>IF(B10="","",'Dados - Fase Plástica'!P14)</f>
        <v>323.72321416934517</v>
      </c>
      <c r="F10" s="99">
        <f>AVERAGEIFS(CPs[Fcj (MPa)],CPs[Idade],'Escopo de Estudo'!$D$36,CPs[Tipo de CP],'Escopo de Estudo'!$J$36,CPs[m],B10)</f>
        <v>30.855377000000001</v>
      </c>
      <c r="G10" s="99">
        <f>AVERAGEIFS(CPs[Índice de Eficiência],CPs[Idade],'Escopo de Estudo'!$D$36,CPs[Tipo de CP],'Escopo de Estudo'!$J$36,CPs[m],B10)</f>
        <v>10.491630491805211</v>
      </c>
      <c r="H10" s="41">
        <f>IF(B10="","",'Dados - Fase Plástica'!F14)</f>
        <v>200</v>
      </c>
    </row>
    <row r="11" spans="1:8">
      <c r="A11" s="19">
        <v>5</v>
      </c>
      <c r="B11" s="77">
        <f>IF('Escopo de Estudo'!AG8="OK",IF('Escopo de Estudo'!T10=TRUE,'Escopo de Estudo'!T8,""))</f>
        <v>7</v>
      </c>
      <c r="C11" s="78">
        <f>IF(B11="","",'Dados - Fase Plástica'!M17)</f>
        <v>0.68404000000000009</v>
      </c>
      <c r="D11" s="41">
        <f>IF(B11="","",'Dados - Fase Plástica'!O17)</f>
        <v>283.32174408346413</v>
      </c>
      <c r="E11" s="41">
        <f>IF(B11="","",'Dados - Fase Plástica'!P17)</f>
        <v>283.32174408346413</v>
      </c>
      <c r="F11" s="99">
        <f>AVERAGEIFS(CPs[Fcj (MPa)],CPs[Idade],'Escopo de Estudo'!$D$36,CPs[Tipo de CP],'Escopo de Estudo'!$J$36,CPs[m],B11)</f>
        <v>26.2227</v>
      </c>
      <c r="G11" s="99">
        <f>AVERAGEIFS(CPs[Índice de Eficiência],CPs[Idade],'Escopo de Estudo'!$D$36,CPs[Tipo de CP],'Escopo de Estudo'!$J$36,CPs[m],B11)</f>
        <v>10.804445922176745</v>
      </c>
      <c r="H11" s="41">
        <f>IF(B11="","",'Dados - Fase Plástica'!F17)</f>
        <v>200</v>
      </c>
    </row>
    <row r="12" spans="1:8">
      <c r="A12" s="19">
        <v>6</v>
      </c>
      <c r="B12" s="77">
        <f>IF('Escopo de Estudo'!AG8="OK",IF('Escopo de Estudo'!X10=TRUE,'Escopo de Estudo'!X8,""))</f>
        <v>8</v>
      </c>
      <c r="C12" s="78">
        <f>IF(B12="","",'Dados - Fase Plástica'!M20)</f>
        <v>0.77175000000000005</v>
      </c>
      <c r="D12" s="41">
        <f>IF(B12="","",'Dados - Fase Plástica'!O20)</f>
        <v>251.7847221317129</v>
      </c>
      <c r="E12" s="41">
        <f>IF(B12="","",'Dados - Fase Plástica'!P20)</f>
        <v>251.7847221317129</v>
      </c>
      <c r="F12" s="99">
        <f>AVERAGEIFS(CPs[Fcj (MPa)],CPs[Idade],'Escopo de Estudo'!$D$36,CPs[Tipo de CP],'Escopo de Estudo'!$J$36,CPs[m],B12)</f>
        <v>22.039554999999996</v>
      </c>
      <c r="G12" s="99">
        <f>AVERAGEIFS(CPs[Índice de Eficiência],CPs[Idade],'Escopo de Estudo'!$D$36,CPs[Tipo de CP],'Escopo de Estudo'!$J$36,CPs[m],B12)</f>
        <v>11.424219868854564</v>
      </c>
      <c r="H12" s="41">
        <f>IF(B12="","",'Dados - Fase Plástica'!F20)</f>
        <v>200</v>
      </c>
    </row>
    <row r="13" spans="1:8">
      <c r="A13" s="19">
        <v>7</v>
      </c>
      <c r="B13" s="79">
        <f>IF('Escopo de Estudo'!AG8="OK",IF('Escopo de Estudo'!AB10=TRUE,'Escopo de Estudo'!AB8,""))</f>
        <v>9</v>
      </c>
      <c r="C13" s="81">
        <f>IF(B13="","",'Dados - Fase Plástica'!M23)</f>
        <v>0.87709999999999999</v>
      </c>
      <c r="D13" s="41">
        <f>IF(B13="","",'Dados - Fase Plástica'!O23)</f>
        <v>226.19791658535507</v>
      </c>
      <c r="E13" s="41">
        <f>IF(B13="","",'Dados - Fase Plástica'!P23)</f>
        <v>226.19791658535507</v>
      </c>
      <c r="F13" s="99">
        <f>AVERAGEIFS(CPs[Fcj (MPa)],CPs[Idade],'Escopo de Estudo'!$D$36,CPs[Tipo de CP],'Escopo de Estudo'!$J$36,CPs[m],B13)</f>
        <v>14.984399999999999</v>
      </c>
      <c r="G13" s="99">
        <f>AVERAGEIFS(CPs[Índice de Eficiência],CPs[Idade],'Escopo de Estudo'!$D$36,CPs[Tipo de CP],'Escopo de Estudo'!$J$36,CPs[m],B13)</f>
        <v>15.095560488598482</v>
      </c>
      <c r="H13" s="41">
        <f>IF(B13="","",'Dados - Fase Plástica'!F23)</f>
        <v>100</v>
      </c>
    </row>
    <row r="34" spans="1:64">
      <c r="A34" s="140" t="s">
        <v>105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N34" s="140" t="s">
        <v>106</v>
      </c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AA34" s="140" t="s">
        <v>107</v>
      </c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N34" s="140" t="s">
        <v>108</v>
      </c>
      <c r="AO34" s="140"/>
      <c r="AP34" s="140"/>
      <c r="AQ34" s="140"/>
      <c r="AR34" s="140"/>
      <c r="AS34" s="140"/>
      <c r="AT34" s="140"/>
      <c r="AU34" s="140"/>
      <c r="AV34" s="140"/>
      <c r="AW34" s="140"/>
      <c r="AX34" s="140"/>
      <c r="AY34" s="140"/>
      <c r="BA34" s="140" t="s">
        <v>109</v>
      </c>
      <c r="BB34" s="140"/>
      <c r="BC34" s="140"/>
      <c r="BD34" s="140"/>
      <c r="BE34" s="140"/>
      <c r="BF34" s="140"/>
      <c r="BG34" s="140"/>
      <c r="BH34" s="140"/>
      <c r="BI34" s="140"/>
      <c r="BJ34" s="140"/>
      <c r="BK34" s="140"/>
      <c r="BL34" s="140"/>
    </row>
    <row r="35" spans="1:64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</row>
    <row r="36" spans="1:64">
      <c r="A36" s="19" t="s">
        <v>110</v>
      </c>
      <c r="B36" s="19">
        <v>6</v>
      </c>
      <c r="C36" s="19">
        <v>5</v>
      </c>
      <c r="D36" s="19">
        <v>4</v>
      </c>
      <c r="E36" s="19">
        <v>3</v>
      </c>
      <c r="F36" s="19">
        <v>2</v>
      </c>
      <c r="G36" s="19">
        <v>1</v>
      </c>
      <c r="H36" s="19">
        <v>0</v>
      </c>
      <c r="N36" s="19" t="s">
        <v>110</v>
      </c>
      <c r="O36" s="19">
        <v>6</v>
      </c>
      <c r="P36" s="19">
        <v>5</v>
      </c>
      <c r="Q36" s="19">
        <v>4</v>
      </c>
      <c r="R36" s="19">
        <v>3</v>
      </c>
      <c r="S36" s="19">
        <v>2</v>
      </c>
      <c r="T36" s="19">
        <v>1</v>
      </c>
      <c r="U36" s="19">
        <v>0</v>
      </c>
      <c r="AA36" s="19" t="s">
        <v>110</v>
      </c>
      <c r="AB36" s="19">
        <v>6</v>
      </c>
      <c r="AC36" s="19">
        <v>5</v>
      </c>
      <c r="AD36" s="19">
        <v>4</v>
      </c>
      <c r="AE36" s="19">
        <v>3</v>
      </c>
      <c r="AF36" s="19">
        <v>2</v>
      </c>
      <c r="AG36" s="19">
        <v>1</v>
      </c>
      <c r="AH36" s="19">
        <v>0</v>
      </c>
      <c r="AN36" s="19" t="s">
        <v>110</v>
      </c>
      <c r="AO36" s="19">
        <v>6</v>
      </c>
      <c r="AP36" s="19">
        <v>5</v>
      </c>
      <c r="AQ36" s="19">
        <v>4</v>
      </c>
      <c r="AR36" s="19">
        <v>3</v>
      </c>
      <c r="AS36" s="19">
        <v>2</v>
      </c>
      <c r="AT36" s="19">
        <v>1</v>
      </c>
      <c r="AU36" s="19">
        <v>0</v>
      </c>
      <c r="BA36" s="19" t="s">
        <v>110</v>
      </c>
      <c r="BB36" s="19">
        <v>6</v>
      </c>
      <c r="BC36" s="19">
        <v>5</v>
      </c>
      <c r="BD36" s="19">
        <v>4</v>
      </c>
      <c r="BE36" s="19">
        <v>3</v>
      </c>
      <c r="BF36" s="19">
        <v>2</v>
      </c>
      <c r="BG36" s="19">
        <v>1</v>
      </c>
      <c r="BH36" s="19">
        <v>0</v>
      </c>
    </row>
    <row r="37" spans="1:64">
      <c r="A37" s="19">
        <v>2</v>
      </c>
      <c r="B37" s="74">
        <f t="shared" ref="B37:H37" si="0">IF($C$7="","",$C$7^B36)</f>
        <v>1.5733738139927513E-3</v>
      </c>
      <c r="C37" s="75">
        <f t="shared" si="0"/>
        <v>4.6134582863967613E-3</v>
      </c>
      <c r="D37" s="75">
        <f t="shared" si="0"/>
        <v>1.35276163687449E-2</v>
      </c>
      <c r="E37" s="75">
        <f t="shared" si="0"/>
        <v>3.9665776356864003E-2</v>
      </c>
      <c r="F37" s="75">
        <f t="shared" si="0"/>
        <v>0.11630828160000001</v>
      </c>
      <c r="G37" s="75">
        <f t="shared" si="0"/>
        <v>0.34104000000000001</v>
      </c>
      <c r="H37" s="76">
        <f t="shared" si="0"/>
        <v>1</v>
      </c>
      <c r="I37" s="19">
        <f>IF($B$4=7,MDETERM(B37:H43),IF($B$4=6,MDETERM(C37:H42),IF($B$4=5,MDETERM(D37:H41),IF($B$4=4,MDETERM(E37:H40),IF($B$4=3,MDETERM(F37:H39),"ERRO")))))</f>
        <v>-1.8164460161863416E-15</v>
      </c>
      <c r="K37" s="236" t="s">
        <v>111</v>
      </c>
      <c r="L37" s="90">
        <f>IF(B4=7,I47/I37,0)</f>
        <v>5525.6817775592244</v>
      </c>
      <c r="N37" s="19">
        <v>2</v>
      </c>
      <c r="O37" s="74">
        <f>IF($B$7="","",$B$7^O36)</f>
        <v>729</v>
      </c>
      <c r="P37" s="75">
        <f t="shared" ref="P37:U37" si="1">IF($B$7="","",$B$7^P36)</f>
        <v>243</v>
      </c>
      <c r="Q37" s="75">
        <f t="shared" si="1"/>
        <v>81</v>
      </c>
      <c r="R37" s="75">
        <f t="shared" si="1"/>
        <v>27</v>
      </c>
      <c r="S37" s="75">
        <f t="shared" si="1"/>
        <v>9</v>
      </c>
      <c r="T37" s="75">
        <f t="shared" si="1"/>
        <v>3</v>
      </c>
      <c r="U37" s="76">
        <f t="shared" si="1"/>
        <v>1</v>
      </c>
      <c r="V37" s="19">
        <f>IF($B$4=7,MDETERM(O37:U43),IF($B$4=6,MDETERM(P37:U42),IF($B$4=5,MDETERM(Q37:U41),IF($B$4=4,MDETERM(R37:U40),IF($B$4=3,MDETERM(S37:U39),"ERRO")))))</f>
        <v>-24883199.999974538</v>
      </c>
      <c r="X37" s="236" t="s">
        <v>111</v>
      </c>
      <c r="Y37" s="90">
        <f>IF($B$4=7,V47/V37,0)</f>
        <v>1.5534152177740682E-2</v>
      </c>
      <c r="AA37" s="19">
        <v>2</v>
      </c>
      <c r="AB37" s="74">
        <f>IF($C$7="","",$C$7^AB36)</f>
        <v>1.5733738139927513E-3</v>
      </c>
      <c r="AC37" s="75">
        <f t="shared" ref="AC37:AH37" si="2">IF($C$7="","",$C$7^AC36)</f>
        <v>4.6134582863967613E-3</v>
      </c>
      <c r="AD37" s="75">
        <f t="shared" si="2"/>
        <v>1.35276163687449E-2</v>
      </c>
      <c r="AE37" s="75">
        <f t="shared" si="2"/>
        <v>3.9665776356864003E-2</v>
      </c>
      <c r="AF37" s="75">
        <f t="shared" si="2"/>
        <v>0.11630828160000001</v>
      </c>
      <c r="AG37" s="75">
        <f t="shared" si="2"/>
        <v>0.34104000000000001</v>
      </c>
      <c r="AH37" s="76">
        <f t="shared" si="2"/>
        <v>1</v>
      </c>
      <c r="AI37" s="19">
        <f>IF($B$4=7,MDETERM(AB37:AH43),IF($B$4=6,MDETERM(AC37:AH42),IF($B$4=5,MDETERM(AD37:AH41),IF($B$4=4,MDETERM(AE37:AH40),IF($B$4=3,MDETERM(AF37:AH39),"ERRO")))))</f>
        <v>-1.8164460161863416E-15</v>
      </c>
      <c r="AK37" s="236" t="s">
        <v>111</v>
      </c>
      <c r="AL37" s="90">
        <f>IF($B$4=7,AI47/AI37,0)</f>
        <v>267549.14403685706</v>
      </c>
      <c r="AN37" s="19">
        <v>2</v>
      </c>
      <c r="AO37" s="74">
        <f>IF($F$7="","",$F$7^AO36)</f>
        <v>84024103591.541061</v>
      </c>
      <c r="AP37" s="75">
        <f t="shared" ref="AP37:AU37" si="3">IF($F$7="","",$F$7^AP36)</f>
        <v>1269608749.1978986</v>
      </c>
      <c r="AQ37" s="75">
        <f t="shared" si="3"/>
        <v>19183856.859403949</v>
      </c>
      <c r="AR37" s="75">
        <f t="shared" si="3"/>
        <v>289869.11458715476</v>
      </c>
      <c r="AS37" s="75">
        <f t="shared" si="3"/>
        <v>4379.9379972100005</v>
      </c>
      <c r="AT37" s="75">
        <f t="shared" si="3"/>
        <v>66.181100000000001</v>
      </c>
      <c r="AU37" s="76">
        <f t="shared" si="3"/>
        <v>1</v>
      </c>
      <c r="AV37" s="19">
        <f>IF($B$4=7,MDETERM(AO37:AU43),IF($B$4=6,MDETERM(AP37:AU42),IF($B$4=5,MDETERM(AQ37:AU41),IF($B$4=4,MDETERM(AR37:AU40),IF($B$4=3,MDETERM(AS37:AU39),"ERRO")))))</f>
        <v>9.4605828571949741E+25</v>
      </c>
      <c r="AX37" s="236" t="s">
        <v>111</v>
      </c>
      <c r="AY37" s="90">
        <f>IF($B$4=7,AV47/AV37,0)</f>
        <v>2.0468230139634993E-9</v>
      </c>
      <c r="BA37" s="19">
        <v>2</v>
      </c>
      <c r="BB37" s="74">
        <f>IF($B$7="","",$B$7^BB36)</f>
        <v>729</v>
      </c>
      <c r="BC37" s="75">
        <f t="shared" ref="BC37:BH37" si="4">IF($B$7="","",$B$7^BC36)</f>
        <v>243</v>
      </c>
      <c r="BD37" s="75">
        <f t="shared" si="4"/>
        <v>81</v>
      </c>
      <c r="BE37" s="75">
        <f t="shared" si="4"/>
        <v>27</v>
      </c>
      <c r="BF37" s="75">
        <f t="shared" si="4"/>
        <v>9</v>
      </c>
      <c r="BG37" s="75">
        <f t="shared" si="4"/>
        <v>3</v>
      </c>
      <c r="BH37" s="76">
        <f t="shared" si="4"/>
        <v>1</v>
      </c>
      <c r="BI37" s="19">
        <f>IF($B$4=7,MDETERM(BB37:BH43),IF($B$4=6,MDETERM(BC37:BH42),IF($B$4=5,MDETERM(BD37:BH41),IF($B$4=4,MDETERM(BE37:BH40),IF($B$4=3,MDETERM(BF37:BH39),"ERRO")))))</f>
        <v>-24883199.999974538</v>
      </c>
      <c r="BK37" s="236" t="s">
        <v>111</v>
      </c>
      <c r="BL37" s="90">
        <f>IF($B$4=7,BI47/BI37,0)</f>
        <v>-2.9027184231814107E-2</v>
      </c>
    </row>
    <row r="38" spans="1:64">
      <c r="A38" s="19">
        <v>3</v>
      </c>
      <c r="B38" s="77">
        <f t="shared" ref="B38:H38" si="5">IF($C$8="","",$C$8^B36)</f>
        <v>6.2119048992555544E-3</v>
      </c>
      <c r="C38" s="19">
        <f t="shared" si="5"/>
        <v>1.448840792829284E-2</v>
      </c>
      <c r="D38" s="19">
        <f t="shared" si="5"/>
        <v>3.3792205080566393E-2</v>
      </c>
      <c r="E38" s="19">
        <f t="shared" si="5"/>
        <v>7.881563867187498E-2</v>
      </c>
      <c r="F38" s="19">
        <f t="shared" si="5"/>
        <v>0.18382656249999996</v>
      </c>
      <c r="G38" s="19">
        <f t="shared" si="5"/>
        <v>0.42874999999999996</v>
      </c>
      <c r="H38" s="78">
        <f t="shared" si="5"/>
        <v>1</v>
      </c>
      <c r="K38" s="237"/>
      <c r="L38" s="90">
        <f>IF(B4&gt;=6,I56/I37,0)</f>
        <v>-20458.828271047929</v>
      </c>
      <c r="N38" s="19">
        <v>3</v>
      </c>
      <c r="O38" s="77">
        <f>IF($B$8="","",$B$8^O36)</f>
        <v>4096</v>
      </c>
      <c r="P38" s="19">
        <f t="shared" ref="P38:U38" si="6">IF($B$8="","",$B$8^P36)</f>
        <v>1024</v>
      </c>
      <c r="Q38" s="19">
        <f t="shared" si="6"/>
        <v>256</v>
      </c>
      <c r="R38" s="19">
        <f t="shared" si="6"/>
        <v>64</v>
      </c>
      <c r="S38" s="19">
        <f t="shared" si="6"/>
        <v>16</v>
      </c>
      <c r="T38" s="19">
        <f t="shared" si="6"/>
        <v>4</v>
      </c>
      <c r="U38" s="78">
        <f t="shared" si="6"/>
        <v>1</v>
      </c>
      <c r="X38" s="237"/>
      <c r="Y38" s="90">
        <f>IF(B4&gt;=6,V56/V37,0)</f>
        <v>-0.5975596200560469</v>
      </c>
      <c r="AA38" s="19">
        <v>3</v>
      </c>
      <c r="AB38" s="77">
        <f>IF($C$8="","",$C$8^AB36)</f>
        <v>6.2119048992555544E-3</v>
      </c>
      <c r="AC38" s="19">
        <f t="shared" ref="AC38:AH38" si="7">IF($C$8="","",$C$8^AC36)</f>
        <v>1.448840792829284E-2</v>
      </c>
      <c r="AD38" s="19">
        <f t="shared" si="7"/>
        <v>3.3792205080566393E-2</v>
      </c>
      <c r="AE38" s="19">
        <f t="shared" si="7"/>
        <v>7.881563867187498E-2</v>
      </c>
      <c r="AF38" s="19">
        <f t="shared" si="7"/>
        <v>0.18382656249999996</v>
      </c>
      <c r="AG38" s="19">
        <f t="shared" si="7"/>
        <v>0.42874999999999996</v>
      </c>
      <c r="AH38" s="78">
        <f t="shared" si="7"/>
        <v>1</v>
      </c>
      <c r="AK38" s="237"/>
      <c r="AL38" s="90">
        <f>IF($B$4&gt;=6,AI56/AI37,0)</f>
        <v>-989364.94375380676</v>
      </c>
      <c r="AN38" s="19">
        <v>3</v>
      </c>
      <c r="AO38" s="77">
        <f>IF($F$8="","",$F$8^AO36)</f>
        <v>15527753148.754057</v>
      </c>
      <c r="AP38" s="19">
        <f t="shared" ref="AP38:AU38" si="8">IF($F$8="","",$F$8^AP36)</f>
        <v>310878376.48662728</v>
      </c>
      <c r="AQ38" s="19">
        <f t="shared" si="8"/>
        <v>6224040.5318857078</v>
      </c>
      <c r="AR38" s="19">
        <f t="shared" si="8"/>
        <v>124610.40545939194</v>
      </c>
      <c r="AS38" s="19">
        <f t="shared" si="8"/>
        <v>2494.8027039999993</v>
      </c>
      <c r="AT38" s="19">
        <f t="shared" si="8"/>
        <v>49.947999999999993</v>
      </c>
      <c r="AU38" s="78">
        <f t="shared" si="8"/>
        <v>1</v>
      </c>
      <c r="AX38" s="237"/>
      <c r="AY38" s="90">
        <f>IF($B$4&gt;=6,AV56/AV37,0)</f>
        <v>-4.0507186953660677E-7</v>
      </c>
      <c r="BA38" s="19">
        <v>3</v>
      </c>
      <c r="BB38" s="77">
        <f>IF($B$8="","",$B$8^BB36)</f>
        <v>4096</v>
      </c>
      <c r="BC38" s="19">
        <f t="shared" ref="BC38:BH38" si="9">IF($B$8="","",$B$8^BC36)</f>
        <v>1024</v>
      </c>
      <c r="BD38" s="19">
        <f t="shared" si="9"/>
        <v>256</v>
      </c>
      <c r="BE38" s="19">
        <f t="shared" si="9"/>
        <v>64</v>
      </c>
      <c r="BF38" s="19">
        <f t="shared" si="9"/>
        <v>16</v>
      </c>
      <c r="BG38" s="19">
        <f t="shared" si="9"/>
        <v>4</v>
      </c>
      <c r="BH38" s="78">
        <f t="shared" si="9"/>
        <v>1</v>
      </c>
      <c r="BK38" s="237"/>
      <c r="BL38" s="90">
        <f>IF($B$4&gt;=6,BI56/BI37,0)</f>
        <v>1.0828409258012921</v>
      </c>
    </row>
    <row r="39" spans="1:64">
      <c r="A39" s="19">
        <v>4</v>
      </c>
      <c r="B39" s="77">
        <f t="shared" ref="B39:H39" si="10">IF($C$9="","",$C$9^B36)</f>
        <v>1.6720708047084056E-2</v>
      </c>
      <c r="C39" s="19">
        <f t="shared" si="10"/>
        <v>3.3065788734148199E-2</v>
      </c>
      <c r="D39" s="19">
        <f t="shared" si="10"/>
        <v>6.5388761141726398E-2</v>
      </c>
      <c r="E39" s="19">
        <f t="shared" si="10"/>
        <v>0.12930857685043193</v>
      </c>
      <c r="F39" s="19">
        <f t="shared" si="10"/>
        <v>0.25571226239999989</v>
      </c>
      <c r="G39" s="19">
        <f t="shared" si="10"/>
        <v>0.50567999999999991</v>
      </c>
      <c r="H39" s="78">
        <f t="shared" si="10"/>
        <v>1</v>
      </c>
      <c r="K39" s="237"/>
      <c r="L39" s="90">
        <f>IF(B4&gt;=5,I65/I37,0)</f>
        <v>30959.320133544221</v>
      </c>
      <c r="N39" s="19">
        <v>4</v>
      </c>
      <c r="O39" s="77">
        <f>IF($B$9="","",$B$9^O36)</f>
        <v>15625</v>
      </c>
      <c r="P39" s="19">
        <f t="shared" ref="P39:U39" si="11">IF($B$9="","",$B$9^P36)</f>
        <v>3125</v>
      </c>
      <c r="Q39" s="19">
        <f t="shared" si="11"/>
        <v>625</v>
      </c>
      <c r="R39" s="19">
        <f t="shared" si="11"/>
        <v>125</v>
      </c>
      <c r="S39" s="19">
        <f t="shared" si="11"/>
        <v>25</v>
      </c>
      <c r="T39" s="19">
        <f t="shared" si="11"/>
        <v>5</v>
      </c>
      <c r="U39" s="78">
        <f t="shared" si="11"/>
        <v>1</v>
      </c>
      <c r="X39" s="237"/>
      <c r="Y39" s="90">
        <f>IF(B4&gt;=5,V65/V37,0)</f>
        <v>9.5145536901625576</v>
      </c>
      <c r="AA39" s="19">
        <v>4</v>
      </c>
      <c r="AB39" s="77">
        <f>IF($C$9="","",$C$9^AB36)</f>
        <v>1.6720708047084056E-2</v>
      </c>
      <c r="AC39" s="19">
        <f t="shared" ref="AC39:AH39" si="12">IF($C$9="","",$C$9^AC36)</f>
        <v>3.3065788734148199E-2</v>
      </c>
      <c r="AD39" s="19">
        <f t="shared" si="12"/>
        <v>6.5388761141726398E-2</v>
      </c>
      <c r="AE39" s="19">
        <f t="shared" si="12"/>
        <v>0.12930857685043193</v>
      </c>
      <c r="AF39" s="19">
        <f t="shared" si="12"/>
        <v>0.25571226239999989</v>
      </c>
      <c r="AG39" s="19">
        <f t="shared" si="12"/>
        <v>0.50567999999999991</v>
      </c>
      <c r="AH39" s="78">
        <f t="shared" si="12"/>
        <v>1</v>
      </c>
      <c r="AK39" s="237"/>
      <c r="AL39" s="90">
        <f>IF($B$4&gt;=5,AI65/AI37,0)</f>
        <v>1496179.2150530794</v>
      </c>
      <c r="AN39" s="19">
        <v>4</v>
      </c>
      <c r="AO39" s="77">
        <f>IF($F$9="","",$F$9^AO36)</f>
        <v>8252084661.1270084</v>
      </c>
      <c r="AP39" s="19">
        <f t="shared" ref="AP39:AU39" si="13">IF($F$9="","",$F$9^AP36)</f>
        <v>183570572.53158861</v>
      </c>
      <c r="AQ39" s="19">
        <f t="shared" si="13"/>
        <v>4083592.9929702142</v>
      </c>
      <c r="AR39" s="19">
        <f t="shared" si="13"/>
        <v>90840.985579896747</v>
      </c>
      <c r="AS39" s="19">
        <f t="shared" si="13"/>
        <v>2020.7901902399997</v>
      </c>
      <c r="AT39" s="19">
        <f t="shared" si="13"/>
        <v>44.953199999999995</v>
      </c>
      <c r="AU39" s="78">
        <f t="shared" si="13"/>
        <v>1</v>
      </c>
      <c r="AX39" s="237"/>
      <c r="AY39" s="90">
        <f>IF($B$4&gt;=5,AV65/AV37,0)</f>
        <v>3.0657968958871887E-5</v>
      </c>
      <c r="BA39" s="19">
        <v>4</v>
      </c>
      <c r="BB39" s="77">
        <f>IF($B$9="","",$B$9^BB36)</f>
        <v>15625</v>
      </c>
      <c r="BC39" s="19">
        <f t="shared" ref="BC39:BH39" si="14">IF($B$9="","",$B$9^BC36)</f>
        <v>3125</v>
      </c>
      <c r="BD39" s="19">
        <f t="shared" si="14"/>
        <v>625</v>
      </c>
      <c r="BE39" s="19">
        <f t="shared" si="14"/>
        <v>125</v>
      </c>
      <c r="BF39" s="19">
        <f t="shared" si="14"/>
        <v>25</v>
      </c>
      <c r="BG39" s="19">
        <f t="shared" si="14"/>
        <v>5</v>
      </c>
      <c r="BH39" s="78">
        <f t="shared" si="14"/>
        <v>1</v>
      </c>
      <c r="BK39" s="237"/>
      <c r="BL39" s="90">
        <f>IF($B$4&gt;=5,BI65/BI37,0)</f>
        <v>-16.39132496339348</v>
      </c>
    </row>
    <row r="40" spans="1:64">
      <c r="A40" s="19">
        <v>5</v>
      </c>
      <c r="B40" s="77">
        <f t="shared" ref="B40:H40" si="15">IF($C$10="","",$C$10^B36)</f>
        <v>4.6772761567521089E-2</v>
      </c>
      <c r="C40" s="19">
        <f t="shared" si="15"/>
        <v>7.7922135056261707E-2</v>
      </c>
      <c r="D40" s="19">
        <f t="shared" si="15"/>
        <v>0.12981613503750389</v>
      </c>
      <c r="E40" s="19">
        <f t="shared" si="15"/>
        <v>0.21627011251562495</v>
      </c>
      <c r="F40" s="19">
        <f t="shared" si="15"/>
        <v>0.36030006249999996</v>
      </c>
      <c r="G40" s="19">
        <f t="shared" si="15"/>
        <v>0.60024999999999995</v>
      </c>
      <c r="H40" s="78">
        <f t="shared" si="15"/>
        <v>1</v>
      </c>
      <c r="K40" s="237"/>
      <c r="L40" s="90">
        <f>IF(B4&gt;=4,I74/I37,0)</f>
        <v>-24481.141437179427</v>
      </c>
      <c r="N40" s="19">
        <v>5</v>
      </c>
      <c r="O40" s="77">
        <f>IF($B$10="","",$B$10^O36)</f>
        <v>46656</v>
      </c>
      <c r="P40" s="19">
        <f t="shared" ref="P40:U40" si="16">IF($B$10="","",$B$10^P36)</f>
        <v>7776</v>
      </c>
      <c r="Q40" s="19">
        <f t="shared" si="16"/>
        <v>1296</v>
      </c>
      <c r="R40" s="19">
        <f t="shared" si="16"/>
        <v>216</v>
      </c>
      <c r="S40" s="19">
        <f t="shared" si="16"/>
        <v>36</v>
      </c>
      <c r="T40" s="19">
        <f t="shared" si="16"/>
        <v>6</v>
      </c>
      <c r="U40" s="78">
        <f t="shared" si="16"/>
        <v>1</v>
      </c>
      <c r="X40" s="237"/>
      <c r="Y40" s="90">
        <f>IF(B4&gt;=4,V74/V37,0)</f>
        <v>-81.118131780670041</v>
      </c>
      <c r="AA40" s="19">
        <v>5</v>
      </c>
      <c r="AB40" s="77">
        <f>IF($C$10="","",$C$10^AB36)</f>
        <v>4.6772761567521089E-2</v>
      </c>
      <c r="AC40" s="19">
        <f t="shared" ref="AC40:AH40" si="17">IF($C$10="","",$C$10^AC36)</f>
        <v>7.7922135056261707E-2</v>
      </c>
      <c r="AD40" s="19">
        <f t="shared" si="17"/>
        <v>0.12981613503750389</v>
      </c>
      <c r="AE40" s="19">
        <f t="shared" si="17"/>
        <v>0.21627011251562495</v>
      </c>
      <c r="AF40" s="19">
        <f t="shared" si="17"/>
        <v>0.36030006249999996</v>
      </c>
      <c r="AG40" s="19">
        <f t="shared" si="17"/>
        <v>0.60024999999999995</v>
      </c>
      <c r="AH40" s="78">
        <f t="shared" si="17"/>
        <v>1</v>
      </c>
      <c r="AK40" s="237"/>
      <c r="AL40" s="90">
        <f>IF($B$4&gt;=4,AI74/AI37,0)</f>
        <v>-1183011.9101680443</v>
      </c>
      <c r="AN40" s="19">
        <v>5</v>
      </c>
      <c r="AO40" s="77">
        <f>IF($F$10="","",$F$10^AO36)</f>
        <v>862949025.63956308</v>
      </c>
      <c r="AP40" s="19">
        <f t="shared" ref="AP40:AU40" si="18">IF($F$10="","",$F$10^AP36)</f>
        <v>27967541.140060067</v>
      </c>
      <c r="AQ40" s="19">
        <f t="shared" si="18"/>
        <v>906407.3707496773</v>
      </c>
      <c r="AR40" s="19">
        <f t="shared" si="18"/>
        <v>29375.994036620501</v>
      </c>
      <c r="AS40" s="19">
        <f t="shared" si="18"/>
        <v>952.05428981212901</v>
      </c>
      <c r="AT40" s="19">
        <f t="shared" si="18"/>
        <v>30.855377000000001</v>
      </c>
      <c r="AU40" s="78">
        <f t="shared" si="18"/>
        <v>1</v>
      </c>
      <c r="AX40" s="237"/>
      <c r="AY40" s="90">
        <f>IF($B$4&gt;=4,AV74/AV37,0)</f>
        <v>-1.1136303136889192E-3</v>
      </c>
      <c r="BA40" s="19">
        <v>5</v>
      </c>
      <c r="BB40" s="77">
        <f>IF($B$10="","",$B$10^BB36)</f>
        <v>46656</v>
      </c>
      <c r="BC40" s="19">
        <f t="shared" ref="BC40:BH40" si="19">IF($B$10="","",$B$10^BC36)</f>
        <v>7776</v>
      </c>
      <c r="BD40" s="19">
        <f t="shared" si="19"/>
        <v>1296</v>
      </c>
      <c r="BE40" s="19">
        <f t="shared" si="19"/>
        <v>216</v>
      </c>
      <c r="BF40" s="19">
        <f t="shared" si="19"/>
        <v>36</v>
      </c>
      <c r="BG40" s="19">
        <f t="shared" si="19"/>
        <v>6</v>
      </c>
      <c r="BH40" s="78">
        <f t="shared" si="19"/>
        <v>1</v>
      </c>
      <c r="BK40" s="237"/>
      <c r="BL40" s="90">
        <f>IF($B$4&gt;=4,BI74/BI37,0)</f>
        <v>128.57448569932953</v>
      </c>
    </row>
    <row r="41" spans="1:64">
      <c r="A41" s="19">
        <v>6</v>
      </c>
      <c r="B41" s="77">
        <f t="shared" ref="B41:H41" si="20">IF($C$11="","",$C$11^B36)</f>
        <v>0.10244458085321199</v>
      </c>
      <c r="C41" s="19">
        <f t="shared" si="20"/>
        <v>0.14976402089528679</v>
      </c>
      <c r="D41" s="19">
        <f t="shared" si="20"/>
        <v>0.21894044338823282</v>
      </c>
      <c r="E41" s="19">
        <f t="shared" si="20"/>
        <v>0.32006965000326415</v>
      </c>
      <c r="F41" s="19">
        <f t="shared" si="20"/>
        <v>0.46791072160000013</v>
      </c>
      <c r="G41" s="19">
        <f t="shared" si="20"/>
        <v>0.68404000000000009</v>
      </c>
      <c r="H41" s="78">
        <f t="shared" si="20"/>
        <v>1</v>
      </c>
      <c r="K41" s="237"/>
      <c r="L41" s="90">
        <f>I83/I37</f>
        <v>10655.291712827897</v>
      </c>
      <c r="N41" s="19">
        <v>6</v>
      </c>
      <c r="O41" s="77">
        <f>IF($B$11="","",$B$11^O36)</f>
        <v>117649</v>
      </c>
      <c r="P41" s="19">
        <f t="shared" ref="P41:U41" si="21">IF($B$11="","",$B$11^P36)</f>
        <v>16807</v>
      </c>
      <c r="Q41" s="19">
        <f t="shared" si="21"/>
        <v>2401</v>
      </c>
      <c r="R41" s="19">
        <f t="shared" si="21"/>
        <v>343</v>
      </c>
      <c r="S41" s="19">
        <f t="shared" si="21"/>
        <v>49</v>
      </c>
      <c r="T41" s="19">
        <f t="shared" si="21"/>
        <v>7</v>
      </c>
      <c r="U41" s="78">
        <f t="shared" si="21"/>
        <v>1</v>
      </c>
      <c r="X41" s="237"/>
      <c r="Y41" s="90">
        <f>V83/V37</f>
        <v>400.76810967457925</v>
      </c>
      <c r="AA41" s="19">
        <v>6</v>
      </c>
      <c r="AB41" s="77">
        <f>IF($C$11="","",$C$11^AB36)</f>
        <v>0.10244458085321199</v>
      </c>
      <c r="AC41" s="19">
        <f t="shared" ref="AC41:AH41" si="22">IF($C$11="","",$C$11^AC36)</f>
        <v>0.14976402089528679</v>
      </c>
      <c r="AD41" s="19">
        <f t="shared" si="22"/>
        <v>0.21894044338823282</v>
      </c>
      <c r="AE41" s="19">
        <f t="shared" si="22"/>
        <v>0.32006965000326415</v>
      </c>
      <c r="AF41" s="19">
        <f t="shared" si="22"/>
        <v>0.46791072160000013</v>
      </c>
      <c r="AG41" s="19">
        <f t="shared" si="22"/>
        <v>0.68404000000000009</v>
      </c>
      <c r="AH41" s="78">
        <f t="shared" si="22"/>
        <v>1</v>
      </c>
      <c r="AK41" s="237"/>
      <c r="AL41" s="90">
        <f>AI83/AI37</f>
        <v>515328.4051752169</v>
      </c>
      <c r="AN41" s="19">
        <v>6</v>
      </c>
      <c r="AO41" s="77">
        <f>IF($F$11="","",$F$11^AO36)</f>
        <v>325135535.98978829</v>
      </c>
      <c r="AP41" s="19">
        <f t="shared" ref="AP41:AU41" si="23">IF($F$11="","",$F$11^AP36)</f>
        <v>12399010.627806759</v>
      </c>
      <c r="AQ41" s="19">
        <f t="shared" si="23"/>
        <v>472835.01042252546</v>
      </c>
      <c r="AR41" s="19">
        <f t="shared" si="23"/>
        <v>18031.515077491084</v>
      </c>
      <c r="AS41" s="19">
        <f t="shared" si="23"/>
        <v>687.62999529000001</v>
      </c>
      <c r="AT41" s="19">
        <f t="shared" si="23"/>
        <v>26.2227</v>
      </c>
      <c r="AU41" s="78">
        <f t="shared" si="23"/>
        <v>1</v>
      </c>
      <c r="AX41" s="237"/>
      <c r="AY41" s="90">
        <f>AV83/AV37</f>
        <v>1.9971618122256181E-2</v>
      </c>
      <c r="BA41" s="19">
        <v>6</v>
      </c>
      <c r="BB41" s="77">
        <f>IF($B$11="","",$B$11^BB36)</f>
        <v>117649</v>
      </c>
      <c r="BC41" s="19">
        <f t="shared" ref="BC41:BH41" si="24">IF($B$11="","",$B$11^BC36)</f>
        <v>16807</v>
      </c>
      <c r="BD41" s="19">
        <f t="shared" si="24"/>
        <v>2401</v>
      </c>
      <c r="BE41" s="19">
        <f t="shared" si="24"/>
        <v>343</v>
      </c>
      <c r="BF41" s="19">
        <f t="shared" si="24"/>
        <v>49</v>
      </c>
      <c r="BG41" s="19">
        <f t="shared" si="24"/>
        <v>7</v>
      </c>
      <c r="BH41" s="78">
        <f t="shared" si="24"/>
        <v>1</v>
      </c>
      <c r="BK41" s="237"/>
      <c r="BL41" s="90">
        <f>BI83/BI37</f>
        <v>-549.73561642255538</v>
      </c>
    </row>
    <row r="42" spans="1:64">
      <c r="A42" s="19">
        <v>7</v>
      </c>
      <c r="B42" s="77">
        <f t="shared" ref="B42:H42" si="25">IF($C$12="","",$C$12^B36)</f>
        <v>0.2112807009001775</v>
      </c>
      <c r="C42" s="19">
        <f t="shared" si="25"/>
        <v>0.27376831992248463</v>
      </c>
      <c r="D42" s="19">
        <f t="shared" si="25"/>
        <v>0.35473705205375394</v>
      </c>
      <c r="E42" s="19">
        <f t="shared" si="25"/>
        <v>0.45965280473437503</v>
      </c>
      <c r="F42" s="19">
        <f t="shared" si="25"/>
        <v>0.59559806250000003</v>
      </c>
      <c r="G42" s="19">
        <f t="shared" si="25"/>
        <v>0.77175000000000005</v>
      </c>
      <c r="H42" s="78">
        <f t="shared" si="25"/>
        <v>1</v>
      </c>
      <c r="K42" s="237"/>
      <c r="L42" s="90">
        <f>I92/I37</f>
        <v>-2405.3437401198089</v>
      </c>
      <c r="N42" s="19">
        <v>7</v>
      </c>
      <c r="O42" s="77">
        <f>IF($B$12="","",$B$12^O36)</f>
        <v>262144</v>
      </c>
      <c r="P42" s="19">
        <f t="shared" ref="P42:U42" si="26">IF($B$12="","",$B$12^P36)</f>
        <v>32768</v>
      </c>
      <c r="Q42" s="19">
        <f t="shared" si="26"/>
        <v>4096</v>
      </c>
      <c r="R42" s="19">
        <f t="shared" si="26"/>
        <v>512</v>
      </c>
      <c r="S42" s="19">
        <f t="shared" si="26"/>
        <v>64</v>
      </c>
      <c r="T42" s="19">
        <f t="shared" si="26"/>
        <v>8</v>
      </c>
      <c r="U42" s="78">
        <f t="shared" si="26"/>
        <v>1</v>
      </c>
      <c r="X42" s="237"/>
      <c r="Y42" s="90">
        <f>V92/V37</f>
        <v>-1168.221124165462</v>
      </c>
      <c r="AA42" s="19">
        <v>7</v>
      </c>
      <c r="AB42" s="77">
        <f>IF($C$12="","",$C$12^AB36)</f>
        <v>0.2112807009001775</v>
      </c>
      <c r="AC42" s="19">
        <f t="shared" ref="AC42:AH42" si="27">IF($C$12="","",$C$12^AC36)</f>
        <v>0.27376831992248463</v>
      </c>
      <c r="AD42" s="19">
        <f t="shared" si="27"/>
        <v>0.35473705205375394</v>
      </c>
      <c r="AE42" s="19">
        <f t="shared" si="27"/>
        <v>0.45965280473437503</v>
      </c>
      <c r="AF42" s="19">
        <f t="shared" si="27"/>
        <v>0.59559806250000003</v>
      </c>
      <c r="AG42" s="19">
        <f t="shared" si="27"/>
        <v>0.77175000000000005</v>
      </c>
      <c r="AH42" s="78">
        <f t="shared" si="27"/>
        <v>1</v>
      </c>
      <c r="AK42" s="237"/>
      <c r="AL42" s="90">
        <f>AI92/AI37</f>
        <v>-117274.31504866482</v>
      </c>
      <c r="AN42" s="19">
        <v>7</v>
      </c>
      <c r="AO42" s="77">
        <f>IF($F$12="","",$F$12^AO36)</f>
        <v>114608526.42706832</v>
      </c>
      <c r="AP42" s="19">
        <f t="shared" ref="AP42:AU42" si="28">IF($F$12="","",$F$12^AP36)</f>
        <v>5200128.8786034174</v>
      </c>
      <c r="AQ42" s="19">
        <f t="shared" si="28"/>
        <v>235945.2756012278</v>
      </c>
      <c r="AR42" s="19">
        <f t="shared" si="28"/>
        <v>10705.53718535732</v>
      </c>
      <c r="AS42" s="19">
        <f t="shared" si="28"/>
        <v>485.74198459802483</v>
      </c>
      <c r="AT42" s="19">
        <f t="shared" si="28"/>
        <v>22.039554999999996</v>
      </c>
      <c r="AU42" s="78">
        <f t="shared" si="28"/>
        <v>1</v>
      </c>
      <c r="AX42" s="237"/>
      <c r="AY42" s="90">
        <f>AV92/AV37</f>
        <v>-0.17659305886981</v>
      </c>
      <c r="BA42" s="19">
        <v>7</v>
      </c>
      <c r="BB42" s="77">
        <f>IF($B$12="","",$B$12^BB36)</f>
        <v>262144</v>
      </c>
      <c r="BC42" s="19">
        <f t="shared" ref="BC42:BH42" si="29">IF($B$12="","",$B$12^BC36)</f>
        <v>32768</v>
      </c>
      <c r="BD42" s="19">
        <f t="shared" si="29"/>
        <v>4096</v>
      </c>
      <c r="BE42" s="19">
        <f t="shared" si="29"/>
        <v>512</v>
      </c>
      <c r="BF42" s="19">
        <f t="shared" si="29"/>
        <v>64</v>
      </c>
      <c r="BG42" s="19">
        <f t="shared" si="29"/>
        <v>8</v>
      </c>
      <c r="BH42" s="78">
        <f t="shared" si="29"/>
        <v>1</v>
      </c>
      <c r="BK42" s="237"/>
      <c r="BL42" s="90">
        <f>BI92/BI37</f>
        <v>1211.9207189209276</v>
      </c>
    </row>
    <row r="43" spans="1:64">
      <c r="A43" s="19">
        <v>8</v>
      </c>
      <c r="B43" s="79">
        <f t="shared" ref="B43:H43" si="30">IF($C$13="","",$C$13^B36)</f>
        <v>0.45529687141342695</v>
      </c>
      <c r="C43" s="80">
        <f t="shared" si="30"/>
        <v>0.51909345731778245</v>
      </c>
      <c r="D43" s="80">
        <f t="shared" si="30"/>
        <v>0.59182927524544804</v>
      </c>
      <c r="E43" s="80">
        <f t="shared" si="30"/>
        <v>0.67475689801099992</v>
      </c>
      <c r="F43" s="80">
        <f t="shared" si="30"/>
        <v>0.76930440999999994</v>
      </c>
      <c r="G43" s="80">
        <f t="shared" si="30"/>
        <v>0.87709999999999999</v>
      </c>
      <c r="H43" s="81">
        <f t="shared" si="30"/>
        <v>1</v>
      </c>
      <c r="K43" s="238"/>
      <c r="L43" s="90">
        <f>I101/I37</f>
        <v>221.96942327263767</v>
      </c>
      <c r="N43" s="19">
        <v>8</v>
      </c>
      <c r="O43" s="79">
        <f>IF($B$13="","",$B$13^O36)</f>
        <v>531441</v>
      </c>
      <c r="P43" s="80">
        <f t="shared" ref="P43:U43" si="31">IF($B$13="","",$B$13^P36)</f>
        <v>59049</v>
      </c>
      <c r="Q43" s="80">
        <f t="shared" si="31"/>
        <v>6561</v>
      </c>
      <c r="R43" s="80">
        <f t="shared" si="31"/>
        <v>729</v>
      </c>
      <c r="S43" s="80">
        <f t="shared" si="31"/>
        <v>81</v>
      </c>
      <c r="T43" s="80">
        <f t="shared" si="31"/>
        <v>9</v>
      </c>
      <c r="U43" s="81">
        <f t="shared" si="31"/>
        <v>1</v>
      </c>
      <c r="X43" s="238"/>
      <c r="Y43" s="90">
        <f>V101/V37</f>
        <v>2017.9150946047248</v>
      </c>
      <c r="AA43" s="19">
        <v>8</v>
      </c>
      <c r="AB43" s="79">
        <f>IF($C$13="","",$C$13^AB36)</f>
        <v>0.45529687141342695</v>
      </c>
      <c r="AC43" s="80">
        <f t="shared" ref="AC43:AH43" si="32">IF($C$13="","",$C$13^AC36)</f>
        <v>0.51909345731778245</v>
      </c>
      <c r="AD43" s="80">
        <f t="shared" si="32"/>
        <v>0.59182927524544804</v>
      </c>
      <c r="AE43" s="80">
        <f t="shared" si="32"/>
        <v>0.67475689801099992</v>
      </c>
      <c r="AF43" s="80">
        <f t="shared" si="32"/>
        <v>0.76930440999999994</v>
      </c>
      <c r="AG43" s="80">
        <f t="shared" si="32"/>
        <v>0.87709999999999999</v>
      </c>
      <c r="AH43" s="81">
        <f t="shared" si="32"/>
        <v>1</v>
      </c>
      <c r="AK43" s="238"/>
      <c r="AL43" s="90">
        <f>AI101/AI37</f>
        <v>10953.238735553079</v>
      </c>
      <c r="AN43" s="19">
        <v>8</v>
      </c>
      <c r="AO43" s="79">
        <f>IF($F$13="","",$F$13^AO36)</f>
        <v>11319732.045441713</v>
      </c>
      <c r="AP43" s="80">
        <f t="shared" ref="AP43:AU43" si="33">IF($F$13="","",$F$13^AP36)</f>
        <v>755434.45486250462</v>
      </c>
      <c r="AQ43" s="80">
        <f t="shared" si="33"/>
        <v>50414.728308274251</v>
      </c>
      <c r="AR43" s="80">
        <f t="shared" si="33"/>
        <v>3364.4809474035833</v>
      </c>
      <c r="AS43" s="80">
        <f t="shared" si="33"/>
        <v>224.53224335999997</v>
      </c>
      <c r="AT43" s="80">
        <f t="shared" si="33"/>
        <v>14.984399999999999</v>
      </c>
      <c r="AU43" s="81">
        <f t="shared" si="33"/>
        <v>1</v>
      </c>
      <c r="AX43" s="238"/>
      <c r="AY43" s="90">
        <f>AV101/AV37</f>
        <v>1.522979367002552</v>
      </c>
      <c r="BA43" s="19">
        <v>8</v>
      </c>
      <c r="BB43" s="79">
        <f>IF($B$13="","",$B$13^BB36)</f>
        <v>531441</v>
      </c>
      <c r="BC43" s="80">
        <f t="shared" ref="BC43:BH43" si="34">IF($B$13="","",$B$13^BC36)</f>
        <v>59049</v>
      </c>
      <c r="BD43" s="80">
        <f t="shared" si="34"/>
        <v>6561</v>
      </c>
      <c r="BE43" s="80">
        <f t="shared" si="34"/>
        <v>729</v>
      </c>
      <c r="BF43" s="80">
        <f t="shared" si="34"/>
        <v>81</v>
      </c>
      <c r="BG43" s="80">
        <f t="shared" si="34"/>
        <v>9</v>
      </c>
      <c r="BH43" s="81">
        <f t="shared" si="34"/>
        <v>1</v>
      </c>
      <c r="BK43" s="238"/>
      <c r="BL43" s="90">
        <f>BI101/BI37</f>
        <v>-1065.3609818270859</v>
      </c>
    </row>
    <row r="44" spans="1:64">
      <c r="K44" s="92">
        <f>AX45</f>
        <v>0.8107646527934953</v>
      </c>
      <c r="L44" s="92" t="s">
        <v>112</v>
      </c>
      <c r="X44" s="92">
        <f>K45</f>
        <v>8.3373279898246722</v>
      </c>
      <c r="Y44" s="92" t="s">
        <v>113</v>
      </c>
      <c r="AK44" s="19">
        <f>AX45</f>
        <v>0.8107646527934953</v>
      </c>
      <c r="AL44" s="19">
        <f>IF(AK44="","",$AL$37*(AK44^6)+$AL$38*(AK44^5)+$AL$39*(AK44^4)+$AL$40*(AK44^3)+$AL$41*(AK44^2)+$AL$42*(AK44^1)+$AL$43)</f>
        <v>16.507134760844565</v>
      </c>
      <c r="AX44" s="92">
        <f>'Avaliação de Resultado'!B7</f>
        <v>20</v>
      </c>
      <c r="AY44" s="92" t="s">
        <v>114</v>
      </c>
      <c r="BK44" s="92">
        <f>K45</f>
        <v>8.3373279898246722</v>
      </c>
      <c r="BL44" s="92" t="s">
        <v>113</v>
      </c>
    </row>
    <row r="45" spans="1:64">
      <c r="K45" s="92">
        <f>IF(K44="","",$L$37*(K44^6)+$L$38*(K44^5)+$L$39*(K44^4)+$L$40*(K44^3)+$L$41*(K44^2)+$L$42*(K44^1)+$L$43)</f>
        <v>8.3373279898246722</v>
      </c>
      <c r="L45" s="92" t="s">
        <v>81</v>
      </c>
      <c r="X45" s="92">
        <f>IF(X44="","",$Y$37*(X44^6)+$Y$38*(X44^5)+$Y$39*(X44^4)+$Y$40*(X44^3)+$Y$41*(X44^2)+$Y$42*(X44^1)+$Y$43)</f>
        <v>242.39077402594557</v>
      </c>
      <c r="Y45" s="92" t="s">
        <v>115</v>
      </c>
      <c r="AL45" s="105">
        <f>(AX44-AL44)/AX44</f>
        <v>0.17464326195777174</v>
      </c>
      <c r="AX45" s="92">
        <f>IF(AX44="","",$AY$37*(AX44^6)+$AY$38*(AX44^5)+$AY$39*(AX44^4)+$AY$40*(AX44^3)+$AY$41*(AX44^2)+$AY$42*(AX44^1)+$AY$43)</f>
        <v>0.8107646527934953</v>
      </c>
      <c r="AY45" s="92" t="s">
        <v>99</v>
      </c>
      <c r="BK45" s="92">
        <f>IF(BK44="","",$BL$37*(BK44^6)+$BL$38*(BK44^5)+$BL$39*(BK44^4)+$BL$40*(BK44^3)+$BL$41*(BK44^2)+$BL$42*(BK44^1)+$BL$43)</f>
        <v>12.573649591112599</v>
      </c>
      <c r="BL45" s="92" t="s">
        <v>116</v>
      </c>
    </row>
    <row r="46" spans="1:64">
      <c r="A46" s="19" t="s">
        <v>110</v>
      </c>
      <c r="B46" s="19">
        <v>6</v>
      </c>
      <c r="C46" s="19">
        <v>5</v>
      </c>
      <c r="D46" s="19">
        <v>4</v>
      </c>
      <c r="E46" s="19">
        <v>3</v>
      </c>
      <c r="F46" s="19">
        <v>2</v>
      </c>
      <c r="G46" s="19">
        <v>1</v>
      </c>
      <c r="H46" s="19">
        <v>0</v>
      </c>
      <c r="K46" s="239" t="s">
        <v>117</v>
      </c>
      <c r="L46" s="240"/>
      <c r="N46" s="19" t="s">
        <v>110</v>
      </c>
      <c r="O46" s="19">
        <v>6</v>
      </c>
      <c r="P46" s="19">
        <v>5</v>
      </c>
      <c r="Q46" s="19">
        <v>4</v>
      </c>
      <c r="R46" s="19">
        <v>3</v>
      </c>
      <c r="S46" s="19">
        <v>2</v>
      </c>
      <c r="T46" s="19">
        <v>1</v>
      </c>
      <c r="U46" s="19">
        <v>0</v>
      </c>
      <c r="X46" s="239" t="s">
        <v>117</v>
      </c>
      <c r="Y46" s="240"/>
      <c r="AA46" s="19" t="s">
        <v>110</v>
      </c>
      <c r="AB46" s="19">
        <v>6</v>
      </c>
      <c r="AC46" s="19">
        <v>5</v>
      </c>
      <c r="AD46" s="19">
        <v>4</v>
      </c>
      <c r="AE46" s="19">
        <v>3</v>
      </c>
      <c r="AF46" s="19">
        <v>2</v>
      </c>
      <c r="AG46" s="19">
        <v>1</v>
      </c>
      <c r="AH46" s="19">
        <v>0</v>
      </c>
      <c r="AK46" s="239" t="s">
        <v>117</v>
      </c>
      <c r="AL46" s="240"/>
      <c r="AN46" s="19" t="s">
        <v>110</v>
      </c>
      <c r="AO46" s="19">
        <v>6</v>
      </c>
      <c r="AP46" s="19">
        <v>5</v>
      </c>
      <c r="AQ46" s="19">
        <v>4</v>
      </c>
      <c r="AR46" s="19">
        <v>3</v>
      </c>
      <c r="AS46" s="19">
        <v>2</v>
      </c>
      <c r="AT46" s="19">
        <v>1</v>
      </c>
      <c r="AU46" s="19">
        <v>0</v>
      </c>
      <c r="AX46" s="239" t="s">
        <v>117</v>
      </c>
      <c r="AY46" s="240"/>
      <c r="BA46" s="19" t="s">
        <v>110</v>
      </c>
      <c r="BB46" s="19">
        <v>6</v>
      </c>
      <c r="BC46" s="19">
        <v>5</v>
      </c>
      <c r="BD46" s="19">
        <v>4</v>
      </c>
      <c r="BE46" s="19">
        <v>3</v>
      </c>
      <c r="BF46" s="19">
        <v>2</v>
      </c>
      <c r="BG46" s="19">
        <v>1</v>
      </c>
      <c r="BH46" s="19">
        <v>0</v>
      </c>
      <c r="BK46" s="239" t="s">
        <v>117</v>
      </c>
      <c r="BL46" s="240"/>
    </row>
    <row r="47" spans="1:64">
      <c r="A47" s="19">
        <v>2</v>
      </c>
      <c r="B47" s="82">
        <f t="shared" ref="B47:B53" si="35">B7</f>
        <v>3</v>
      </c>
      <c r="C47" s="75">
        <f>C37</f>
        <v>4.6134582863967613E-3</v>
      </c>
      <c r="D47" s="75">
        <f t="shared" ref="D47:H47" si="36">D37</f>
        <v>1.35276163687449E-2</v>
      </c>
      <c r="E47" s="75">
        <f t="shared" si="36"/>
        <v>3.9665776356864003E-2</v>
      </c>
      <c r="F47" s="75">
        <f t="shared" si="36"/>
        <v>0.11630828160000001</v>
      </c>
      <c r="G47" s="75">
        <f t="shared" si="36"/>
        <v>0.34104000000000001</v>
      </c>
      <c r="H47" s="76">
        <f t="shared" si="36"/>
        <v>1</v>
      </c>
      <c r="I47" s="19">
        <f>IF($B$4=7,MDETERM(B47:H53),IF($B$4=6,MDETERM(C47:H52),IF($B$4=5,MDETERM(D47:H51),IF($B$4=4,MDETERM(E47:H50),IF($B$4=3,MDETERM(F47:H49),"ERRO")))))</f>
        <v>-1.0037102651560915E-11</v>
      </c>
      <c r="K47" s="91" t="s">
        <v>99</v>
      </c>
      <c r="L47" s="91" t="s">
        <v>81</v>
      </c>
      <c r="N47" s="19">
        <v>2</v>
      </c>
      <c r="O47" s="94">
        <f>D7</f>
        <v>566.77140926841628</v>
      </c>
      <c r="P47" s="75">
        <f>P37</f>
        <v>243</v>
      </c>
      <c r="Q47" s="75">
        <f t="shared" ref="Q47:U47" si="37">Q37</f>
        <v>81</v>
      </c>
      <c r="R47" s="75">
        <f t="shared" si="37"/>
        <v>27</v>
      </c>
      <c r="S47" s="75">
        <f t="shared" si="37"/>
        <v>9</v>
      </c>
      <c r="T47" s="75">
        <f t="shared" si="37"/>
        <v>3</v>
      </c>
      <c r="U47" s="76">
        <f t="shared" si="37"/>
        <v>1</v>
      </c>
      <c r="V47" s="19">
        <f>IF($B$4=7,MDETERM(O47:U53),IF($B$4=6,MDETERM(P47:U52),IF($B$4=5,MDETERM(Q47:U51),IF($B$4=4,MDETERM(R47:U50),IF($B$4=3,MDETERM(S47:U49),"ERRO")))))</f>
        <v>-386539.41546876141</v>
      </c>
      <c r="X47" s="91" t="s">
        <v>81</v>
      </c>
      <c r="Y47" s="91" t="s">
        <v>115</v>
      </c>
      <c r="AA47" s="19">
        <v>2</v>
      </c>
      <c r="AB47" s="94">
        <f>F7</f>
        <v>66.181100000000001</v>
      </c>
      <c r="AC47" s="75">
        <f>AC37</f>
        <v>4.6134582863967613E-3</v>
      </c>
      <c r="AD47" s="75">
        <f t="shared" ref="AD47:AH47" si="38">AD37</f>
        <v>1.35276163687449E-2</v>
      </c>
      <c r="AE47" s="75">
        <f t="shared" si="38"/>
        <v>3.9665776356864003E-2</v>
      </c>
      <c r="AF47" s="75">
        <f t="shared" si="38"/>
        <v>0.11630828160000001</v>
      </c>
      <c r="AG47" s="75">
        <f t="shared" si="38"/>
        <v>0.34104000000000001</v>
      </c>
      <c r="AH47" s="76">
        <f t="shared" si="38"/>
        <v>1</v>
      </c>
      <c r="AI47" s="19">
        <f>IF($B$4=7,MDETERM(AB47:AH53),IF($B$4=6,MDETERM(AC47:AH52),IF($B$4=5,MDETERM(AD47:AH51),IF($B$4=4,MDETERM(AE47:AH50),IF($B$4=3,MDETERM(AF47:AH49),"ERRO")))))</f>
        <v>-4.8598857681981467E-10</v>
      </c>
      <c r="AK47" s="91" t="s">
        <v>99</v>
      </c>
      <c r="AL47" s="91" t="s">
        <v>118</v>
      </c>
      <c r="AN47" s="19">
        <v>2</v>
      </c>
      <c r="AO47" s="100">
        <f>C7</f>
        <v>0.34104000000000001</v>
      </c>
      <c r="AP47" s="75">
        <f>AP37</f>
        <v>1269608749.1978986</v>
      </c>
      <c r="AQ47" s="75">
        <f t="shared" ref="AQ47:AU47" si="39">AQ37</f>
        <v>19183856.859403949</v>
      </c>
      <c r="AR47" s="75">
        <f t="shared" si="39"/>
        <v>289869.11458715476</v>
      </c>
      <c r="AS47" s="75">
        <f t="shared" si="39"/>
        <v>4379.9379972100005</v>
      </c>
      <c r="AT47" s="75">
        <f t="shared" si="39"/>
        <v>66.181100000000001</v>
      </c>
      <c r="AU47" s="76">
        <f t="shared" si="39"/>
        <v>1</v>
      </c>
      <c r="AV47" s="19">
        <f>IF($B$4=7,MDETERM(AO47:AU53),IF($B$4=6,MDETERM(AP47:AU52),IF($B$4=5,MDETERM(AQ47:AU51),IF($B$4=4,MDETERM(AR47:AU50),IF($B$4=3,MDETERM(AS47:AU49),"ERRO")))))</f>
        <v>1.9364138717615232E+17</v>
      </c>
      <c r="AX47" s="91" t="s">
        <v>118</v>
      </c>
      <c r="AY47" s="91" t="s">
        <v>99</v>
      </c>
      <c r="BA47" s="19">
        <v>2</v>
      </c>
      <c r="BB47" s="100">
        <f>G7</f>
        <v>8.5639466444108105</v>
      </c>
      <c r="BC47" s="75">
        <f>BC37</f>
        <v>243</v>
      </c>
      <c r="BD47" s="75">
        <f t="shared" ref="BD47:BH47" si="40">BD37</f>
        <v>81</v>
      </c>
      <c r="BE47" s="75">
        <f t="shared" si="40"/>
        <v>27</v>
      </c>
      <c r="BF47" s="75">
        <f t="shared" si="40"/>
        <v>9</v>
      </c>
      <c r="BG47" s="75">
        <f t="shared" si="40"/>
        <v>3</v>
      </c>
      <c r="BH47" s="76">
        <f t="shared" si="40"/>
        <v>1</v>
      </c>
      <c r="BI47" s="19">
        <f>IF($B$4=7,MDETERM(BB47:BH53),IF($B$4=6,MDETERM(BC47:BH52),IF($B$4=5,MDETERM(BD47:BH51),IF($B$4=4,MDETERM(BE47:BH50),IF($B$4=3,MDETERM(BF47:BH49),"ERRO")))))</f>
        <v>722289.23067633773</v>
      </c>
      <c r="BK47" s="91" t="s">
        <v>81</v>
      </c>
      <c r="BL47" s="91" t="s">
        <v>119</v>
      </c>
    </row>
    <row r="48" spans="1:64">
      <c r="A48" s="19">
        <v>3</v>
      </c>
      <c r="B48" s="83">
        <f t="shared" si="35"/>
        <v>4</v>
      </c>
      <c r="C48" s="19">
        <f t="shared" ref="C48:H48" si="41">C38</f>
        <v>1.448840792829284E-2</v>
      </c>
      <c r="D48" s="19">
        <f t="shared" si="41"/>
        <v>3.3792205080566393E-2</v>
      </c>
      <c r="E48" s="19">
        <f t="shared" si="41"/>
        <v>7.881563867187498E-2</v>
      </c>
      <c r="F48" s="19">
        <f t="shared" si="41"/>
        <v>0.18382656249999996</v>
      </c>
      <c r="G48" s="19">
        <f t="shared" si="41"/>
        <v>0.42874999999999996</v>
      </c>
      <c r="H48" s="78">
        <f t="shared" si="41"/>
        <v>1</v>
      </c>
      <c r="K48" s="77">
        <f>C7</f>
        <v>0.34104000000000001</v>
      </c>
      <c r="L48" s="106">
        <f>IF(K48="","",$L$37*(K48^6)+$L$38*(K48^5)+$L$39*(K48^4)+$L$40*(K48^3)+$L$41*(K48^2)+$L$42*(K48^1)+$L$43)</f>
        <v>2.9999999999766089</v>
      </c>
      <c r="N48" s="19">
        <v>3</v>
      </c>
      <c r="O48" s="95">
        <f t="shared" ref="O48:O53" si="42">D8</f>
        <v>453.21249983708327</v>
      </c>
      <c r="P48" s="19">
        <f t="shared" ref="P48:U48" si="43">P38</f>
        <v>1024</v>
      </c>
      <c r="Q48" s="19">
        <f t="shared" si="43"/>
        <v>256</v>
      </c>
      <c r="R48" s="19">
        <f t="shared" si="43"/>
        <v>64</v>
      </c>
      <c r="S48" s="19">
        <f t="shared" si="43"/>
        <v>16</v>
      </c>
      <c r="T48" s="19">
        <f t="shared" si="43"/>
        <v>4</v>
      </c>
      <c r="U48" s="78">
        <f t="shared" si="43"/>
        <v>1</v>
      </c>
      <c r="X48" s="77">
        <f>B7</f>
        <v>3</v>
      </c>
      <c r="Y48" s="78">
        <f>IF(X48="","",$Y$37*(X48^6)+$Y$38*(X48^5)+$Y$39*(X48^4)+$Y$40*(X48^3)+$Y$41*(X48^2)+$Y$42*(X48^1)+$Y$43)</f>
        <v>566.77140926858192</v>
      </c>
      <c r="AA48" s="19">
        <v>3</v>
      </c>
      <c r="AB48" s="95">
        <f t="shared" ref="AB48:AB53" si="44">F8</f>
        <v>49.947999999999993</v>
      </c>
      <c r="AC48" s="19">
        <f t="shared" ref="AC48:AH48" si="45">AC38</f>
        <v>1.448840792829284E-2</v>
      </c>
      <c r="AD48" s="19">
        <f t="shared" si="45"/>
        <v>3.3792205080566393E-2</v>
      </c>
      <c r="AE48" s="19">
        <f t="shared" si="45"/>
        <v>7.881563867187498E-2</v>
      </c>
      <c r="AF48" s="19">
        <f t="shared" si="45"/>
        <v>0.18382656249999996</v>
      </c>
      <c r="AG48" s="19">
        <f t="shared" si="45"/>
        <v>0.42874999999999996</v>
      </c>
      <c r="AH48" s="78">
        <f t="shared" si="45"/>
        <v>1</v>
      </c>
      <c r="AK48" s="77">
        <f>C7</f>
        <v>0.34104000000000001</v>
      </c>
      <c r="AL48" s="78">
        <f>IF(AK48="","",$AL$37*(AK48^6)+$AL$38*(AK48^5)+$AL$39*(AK48^4)+$AL$40*(AK48^3)+$AL$41*(AK48^2)+$AL$42*(AK48^1)+$AL$43)</f>
        <v>66.181100002564563</v>
      </c>
      <c r="AN48" s="19">
        <v>3</v>
      </c>
      <c r="AO48" s="101">
        <f t="shared" ref="AO48:AO53" si="46">C8</f>
        <v>0.42874999999999996</v>
      </c>
      <c r="AP48" s="19">
        <f t="shared" ref="AP48:AU48" si="47">AP38</f>
        <v>310878376.48662728</v>
      </c>
      <c r="AQ48" s="19">
        <f t="shared" si="47"/>
        <v>6224040.5318857078</v>
      </c>
      <c r="AR48" s="19">
        <f t="shared" si="47"/>
        <v>124610.40545939194</v>
      </c>
      <c r="AS48" s="19">
        <f t="shared" si="47"/>
        <v>2494.8027039999993</v>
      </c>
      <c r="AT48" s="19">
        <f t="shared" si="47"/>
        <v>49.947999999999993</v>
      </c>
      <c r="AU48" s="78">
        <f t="shared" si="47"/>
        <v>1</v>
      </c>
      <c r="AX48" s="103">
        <f>F7</f>
        <v>66.181100000000001</v>
      </c>
      <c r="AY48" s="78">
        <f>IF(AX48="","",$AY$37*(AX48^6)+$AY$38*(AX48^5)+$AY$39*(AX48^4)+$AY$40*(AX48^3)+$AY$41*(AX48^2)+$AY$42*(AX48^1)+$AY$43)</f>
        <v>0.34103999989050826</v>
      </c>
      <c r="BA48" s="19">
        <v>3</v>
      </c>
      <c r="BB48" s="101">
        <f t="shared" ref="BB48:BB53" si="48">G8</f>
        <v>9.073686630837738</v>
      </c>
      <c r="BC48" s="19">
        <f t="shared" ref="BC48:BH48" si="49">BC38</f>
        <v>1024</v>
      </c>
      <c r="BD48" s="19">
        <f t="shared" si="49"/>
        <v>256</v>
      </c>
      <c r="BE48" s="19">
        <f t="shared" si="49"/>
        <v>64</v>
      </c>
      <c r="BF48" s="19">
        <f t="shared" si="49"/>
        <v>16</v>
      </c>
      <c r="BG48" s="19">
        <f t="shared" si="49"/>
        <v>4</v>
      </c>
      <c r="BH48" s="78">
        <f t="shared" si="49"/>
        <v>1</v>
      </c>
      <c r="BK48" s="103">
        <f>B7</f>
        <v>3</v>
      </c>
      <c r="BL48" s="78">
        <f>IF(BK48="","",$BL$37*(BK48^6)+$BL$38*(BK48^5)+$BL$39*(BK48^4)+$BL$40*(BK48^3)+$BL$41*(BK48^2)+$BL$42*(BK48^1)+$BL$43)</f>
        <v>8.5639466444456502</v>
      </c>
    </row>
    <row r="49" spans="1:64">
      <c r="A49" s="19">
        <v>4</v>
      </c>
      <c r="B49" s="83">
        <f t="shared" si="35"/>
        <v>5</v>
      </c>
      <c r="C49" s="19">
        <f t="shared" ref="C49:H49" si="50">C39</f>
        <v>3.3065788734148199E-2</v>
      </c>
      <c r="D49" s="19">
        <f t="shared" si="50"/>
        <v>6.5388761141726398E-2</v>
      </c>
      <c r="E49" s="19">
        <f t="shared" si="50"/>
        <v>0.12930857685043193</v>
      </c>
      <c r="F49" s="19">
        <f t="shared" si="50"/>
        <v>0.25571226239999989</v>
      </c>
      <c r="G49" s="19">
        <f t="shared" si="50"/>
        <v>0.50567999999999991</v>
      </c>
      <c r="H49" s="78">
        <f t="shared" si="50"/>
        <v>1</v>
      </c>
      <c r="K49" s="77">
        <f t="shared" ref="K49:K54" si="51">C8</f>
        <v>0.42874999999999996</v>
      </c>
      <c r="L49" s="106">
        <f t="shared" ref="L49:L54" si="52">IF(K49="","",$L$37*(K49^6)+$L$38*(K49^5)+$L$39*(K49^4)+$L$40*(K49^3)+$L$41*(K49^2)+$L$42*(K49^1)+$L$43)</f>
        <v>3.9999999999077147</v>
      </c>
      <c r="N49" s="19">
        <v>4</v>
      </c>
      <c r="O49" s="95">
        <f t="shared" si="42"/>
        <v>378.18911451079146</v>
      </c>
      <c r="P49" s="19">
        <f t="shared" ref="P49:U49" si="53">P39</f>
        <v>3125</v>
      </c>
      <c r="Q49" s="19">
        <f t="shared" si="53"/>
        <v>625</v>
      </c>
      <c r="R49" s="19">
        <f t="shared" si="53"/>
        <v>125</v>
      </c>
      <c r="S49" s="19">
        <f t="shared" si="53"/>
        <v>25</v>
      </c>
      <c r="T49" s="19">
        <f t="shared" si="53"/>
        <v>5</v>
      </c>
      <c r="U49" s="78">
        <f t="shared" si="53"/>
        <v>1</v>
      </c>
      <c r="X49" s="77">
        <f t="shared" ref="X49:X54" si="54">B8</f>
        <v>4</v>
      </c>
      <c r="Y49" s="78">
        <f t="shared" ref="Y49:Y54" si="55">IF(X49="","",$Y$37*(X49^6)+$Y$38*(X49^5)+$Y$39*(X49^4)+$Y$40*(X49^3)+$Y$41*(X49^2)+$Y$42*(X49^1)+$Y$43)</f>
        <v>453.21249983751068</v>
      </c>
      <c r="AA49" s="19">
        <v>4</v>
      </c>
      <c r="AB49" s="95">
        <f t="shared" si="44"/>
        <v>44.953199999999995</v>
      </c>
      <c r="AC49" s="19">
        <f t="shared" ref="AC49:AH49" si="56">AC39</f>
        <v>3.3065788734148199E-2</v>
      </c>
      <c r="AD49" s="19">
        <f t="shared" si="56"/>
        <v>6.5388761141726398E-2</v>
      </c>
      <c r="AE49" s="19">
        <f t="shared" si="56"/>
        <v>0.12930857685043193</v>
      </c>
      <c r="AF49" s="19">
        <f t="shared" si="56"/>
        <v>0.25571226239999989</v>
      </c>
      <c r="AG49" s="19">
        <f t="shared" si="56"/>
        <v>0.50567999999999991</v>
      </c>
      <c r="AH49" s="78">
        <f t="shared" si="56"/>
        <v>1</v>
      </c>
      <c r="AK49" s="77">
        <f t="shared" ref="AK49:AK54" si="57">C8</f>
        <v>0.42874999999999996</v>
      </c>
      <c r="AL49" s="78">
        <f t="shared" ref="AL49:AL54" si="58">IF(AK49="","",$AL$37*(AK49^6)+$AL$38*(AK49^5)+$AL$39*(AK49^4)+$AL$40*(AK49^3)+$AL$41*(AK49^2)+$AL$42*(AK49^1)+$AL$43)</f>
        <v>49.948000007183509</v>
      </c>
      <c r="AN49" s="19">
        <v>4</v>
      </c>
      <c r="AO49" s="101">
        <f t="shared" si="46"/>
        <v>0.50567999999999991</v>
      </c>
      <c r="AP49" s="19">
        <f t="shared" ref="AP49:AU49" si="59">AP39</f>
        <v>183570572.53158861</v>
      </c>
      <c r="AQ49" s="19">
        <f t="shared" si="59"/>
        <v>4083592.9929702142</v>
      </c>
      <c r="AR49" s="19">
        <f t="shared" si="59"/>
        <v>90840.985579896747</v>
      </c>
      <c r="AS49" s="19">
        <f t="shared" si="59"/>
        <v>2020.7901902399997</v>
      </c>
      <c r="AT49" s="19">
        <f t="shared" si="59"/>
        <v>44.953199999999995</v>
      </c>
      <c r="AU49" s="78">
        <f t="shared" si="59"/>
        <v>1</v>
      </c>
      <c r="AX49" s="103">
        <f t="shared" ref="AX49:AX54" si="60">F8</f>
        <v>49.947999999999993</v>
      </c>
      <c r="AY49" s="78">
        <f t="shared" ref="AY49:AY54" si="61">IF(AX49="","",$AY$37*(AX49^6)+$AY$38*(AX49^5)+$AY$39*(AX49^4)+$AY$40*(AX49^3)+$AY$41*(AX49^2)+$AY$42*(AX49^1)+$AY$43)</f>
        <v>0.42874999997060192</v>
      </c>
      <c r="BA49" s="19">
        <v>4</v>
      </c>
      <c r="BB49" s="101">
        <f t="shared" si="48"/>
        <v>8.4129520147796271</v>
      </c>
      <c r="BC49" s="19">
        <f t="shared" ref="BC49:BH49" si="62">BC39</f>
        <v>3125</v>
      </c>
      <c r="BD49" s="19">
        <f t="shared" si="62"/>
        <v>625</v>
      </c>
      <c r="BE49" s="19">
        <f t="shared" si="62"/>
        <v>125</v>
      </c>
      <c r="BF49" s="19">
        <f t="shared" si="62"/>
        <v>25</v>
      </c>
      <c r="BG49" s="19">
        <f t="shared" si="62"/>
        <v>5</v>
      </c>
      <c r="BH49" s="78">
        <f t="shared" si="62"/>
        <v>1</v>
      </c>
      <c r="BK49" s="103">
        <f t="shared" ref="BK49:BK54" si="63">B8</f>
        <v>4</v>
      </c>
      <c r="BL49" s="78">
        <f t="shared" ref="BL49:BL54" si="64">IF(BK49="","",$BL$37*(BK49^6)+$BL$38*(BK49^5)+$BL$39*(BK49^4)+$BL$40*(BK49^3)+$BL$41*(BK49^2)+$BL$42*(BK49^1)+$BL$43)</f>
        <v>9.0736866311101494</v>
      </c>
    </row>
    <row r="50" spans="1:64">
      <c r="A50" s="19">
        <v>5</v>
      </c>
      <c r="B50" s="83">
        <f t="shared" si="35"/>
        <v>6</v>
      </c>
      <c r="C50" s="19">
        <f t="shared" ref="C50:H50" si="65">C40</f>
        <v>7.7922135056261707E-2</v>
      </c>
      <c r="D50" s="19">
        <f t="shared" si="65"/>
        <v>0.12981613503750389</v>
      </c>
      <c r="E50" s="19">
        <f t="shared" si="65"/>
        <v>0.21627011251562495</v>
      </c>
      <c r="F50" s="19">
        <f t="shared" si="65"/>
        <v>0.36030006249999996</v>
      </c>
      <c r="G50" s="19">
        <f t="shared" si="65"/>
        <v>0.60024999999999995</v>
      </c>
      <c r="H50" s="78">
        <f t="shared" si="65"/>
        <v>1</v>
      </c>
      <c r="K50" s="77">
        <f t="shared" si="51"/>
        <v>0.50567999999999991</v>
      </c>
      <c r="L50" s="106">
        <f t="shared" si="52"/>
        <v>4.9999999997694715</v>
      </c>
      <c r="N50" s="19">
        <v>5</v>
      </c>
      <c r="O50" s="95">
        <f t="shared" si="42"/>
        <v>323.72321416934517</v>
      </c>
      <c r="P50" s="19">
        <f t="shared" ref="P50:U50" si="66">P40</f>
        <v>7776</v>
      </c>
      <c r="Q50" s="19">
        <f t="shared" si="66"/>
        <v>1296</v>
      </c>
      <c r="R50" s="19">
        <f t="shared" si="66"/>
        <v>216</v>
      </c>
      <c r="S50" s="19">
        <f t="shared" si="66"/>
        <v>36</v>
      </c>
      <c r="T50" s="19">
        <f t="shared" si="66"/>
        <v>6</v>
      </c>
      <c r="U50" s="78">
        <f t="shared" si="66"/>
        <v>1</v>
      </c>
      <c r="X50" s="77">
        <f t="shared" si="54"/>
        <v>5</v>
      </c>
      <c r="Y50" s="78">
        <f t="shared" si="55"/>
        <v>378.18911451179065</v>
      </c>
      <c r="AA50" s="19">
        <v>5</v>
      </c>
      <c r="AB50" s="95">
        <f t="shared" si="44"/>
        <v>30.855377000000001</v>
      </c>
      <c r="AC50" s="19">
        <f t="shared" ref="AC50:AH50" si="67">AC40</f>
        <v>7.7922135056261707E-2</v>
      </c>
      <c r="AD50" s="19">
        <f t="shared" si="67"/>
        <v>0.12981613503750389</v>
      </c>
      <c r="AE50" s="19">
        <f t="shared" si="67"/>
        <v>0.21627011251562495</v>
      </c>
      <c r="AF50" s="19">
        <f t="shared" si="67"/>
        <v>0.36030006249999996</v>
      </c>
      <c r="AG50" s="19">
        <f t="shared" si="67"/>
        <v>0.60024999999999995</v>
      </c>
      <c r="AH50" s="78">
        <f t="shared" si="67"/>
        <v>1</v>
      </c>
      <c r="AK50" s="77">
        <f t="shared" si="57"/>
        <v>0.50567999999999991</v>
      </c>
      <c r="AL50" s="78">
        <f t="shared" si="58"/>
        <v>44.953200015201219</v>
      </c>
      <c r="AN50" s="19">
        <v>5</v>
      </c>
      <c r="AO50" s="101">
        <f t="shared" si="46"/>
        <v>0.60024999999999995</v>
      </c>
      <c r="AP50" s="19">
        <f t="shared" ref="AP50:AU50" si="68">AP40</f>
        <v>27967541.140060067</v>
      </c>
      <c r="AQ50" s="19">
        <f t="shared" si="68"/>
        <v>906407.3707496773</v>
      </c>
      <c r="AR50" s="19">
        <f t="shared" si="68"/>
        <v>29375.994036620501</v>
      </c>
      <c r="AS50" s="19">
        <f t="shared" si="68"/>
        <v>952.05428981212901</v>
      </c>
      <c r="AT50" s="19">
        <f t="shared" si="68"/>
        <v>30.855377000000001</v>
      </c>
      <c r="AU50" s="78">
        <f t="shared" si="68"/>
        <v>1</v>
      </c>
      <c r="AX50" s="103">
        <f t="shared" si="60"/>
        <v>44.953199999999995</v>
      </c>
      <c r="AY50" s="78">
        <f t="shared" si="61"/>
        <v>0.50567999998154423</v>
      </c>
      <c r="BA50" s="19">
        <v>5</v>
      </c>
      <c r="BB50" s="101">
        <f t="shared" si="48"/>
        <v>10.491630491805211</v>
      </c>
      <c r="BC50" s="19">
        <f t="shared" ref="BC50:BH50" si="69">BC40</f>
        <v>7776</v>
      </c>
      <c r="BD50" s="19">
        <f t="shared" si="69"/>
        <v>1296</v>
      </c>
      <c r="BE50" s="19">
        <f t="shared" si="69"/>
        <v>216</v>
      </c>
      <c r="BF50" s="19">
        <f t="shared" si="69"/>
        <v>36</v>
      </c>
      <c r="BG50" s="19">
        <f t="shared" si="69"/>
        <v>6</v>
      </c>
      <c r="BH50" s="78">
        <f t="shared" si="69"/>
        <v>1</v>
      </c>
      <c r="BK50" s="103">
        <f t="shared" si="63"/>
        <v>5</v>
      </c>
      <c r="BL50" s="78">
        <f t="shared" si="64"/>
        <v>8.4129520158760442</v>
      </c>
    </row>
    <row r="51" spans="1:64">
      <c r="A51" s="19">
        <v>6</v>
      </c>
      <c r="B51" s="83">
        <f t="shared" si="35"/>
        <v>7</v>
      </c>
      <c r="C51" s="19">
        <f t="shared" ref="C51:H51" si="70">C41</f>
        <v>0.14976402089528679</v>
      </c>
      <c r="D51" s="19">
        <f t="shared" si="70"/>
        <v>0.21894044338823282</v>
      </c>
      <c r="E51" s="19">
        <f t="shared" si="70"/>
        <v>0.32006965000326415</v>
      </c>
      <c r="F51" s="19">
        <f t="shared" si="70"/>
        <v>0.46791072160000013</v>
      </c>
      <c r="G51" s="19">
        <f t="shared" si="70"/>
        <v>0.68404000000000009</v>
      </c>
      <c r="H51" s="78">
        <f t="shared" si="70"/>
        <v>1</v>
      </c>
      <c r="K51" s="77">
        <f t="shared" si="51"/>
        <v>0.60024999999999995</v>
      </c>
      <c r="L51" s="106">
        <f t="shared" si="52"/>
        <v>5.9999999994234088</v>
      </c>
      <c r="N51" s="19">
        <v>6</v>
      </c>
      <c r="O51" s="95">
        <f t="shared" si="42"/>
        <v>283.32174408346413</v>
      </c>
      <c r="P51" s="19">
        <f t="shared" ref="P51:U51" si="71">P41</f>
        <v>16807</v>
      </c>
      <c r="Q51" s="19">
        <f t="shared" si="71"/>
        <v>2401</v>
      </c>
      <c r="R51" s="19">
        <f t="shared" si="71"/>
        <v>343</v>
      </c>
      <c r="S51" s="19">
        <f t="shared" si="71"/>
        <v>49</v>
      </c>
      <c r="T51" s="19">
        <f t="shared" si="71"/>
        <v>7</v>
      </c>
      <c r="U51" s="78">
        <f t="shared" si="71"/>
        <v>1</v>
      </c>
      <c r="X51" s="77">
        <f t="shared" si="54"/>
        <v>6</v>
      </c>
      <c r="Y51" s="78">
        <f t="shared" si="55"/>
        <v>323.72321417159947</v>
      </c>
      <c r="AA51" s="19">
        <v>6</v>
      </c>
      <c r="AB51" s="95">
        <f t="shared" si="44"/>
        <v>26.2227</v>
      </c>
      <c r="AC51" s="19">
        <f t="shared" ref="AC51:AH51" si="72">AC41</f>
        <v>0.14976402089528679</v>
      </c>
      <c r="AD51" s="19">
        <f t="shared" si="72"/>
        <v>0.21894044338823282</v>
      </c>
      <c r="AE51" s="19">
        <f t="shared" si="72"/>
        <v>0.32006965000326415</v>
      </c>
      <c r="AF51" s="19">
        <f t="shared" si="72"/>
        <v>0.46791072160000013</v>
      </c>
      <c r="AG51" s="19">
        <f t="shared" si="72"/>
        <v>0.68404000000000009</v>
      </c>
      <c r="AH51" s="78">
        <f t="shared" si="72"/>
        <v>1</v>
      </c>
      <c r="AK51" s="77">
        <f t="shared" si="57"/>
        <v>0.60024999999999995</v>
      </c>
      <c r="AL51" s="78">
        <f t="shared" si="58"/>
        <v>30.855377033190962</v>
      </c>
      <c r="AN51" s="19">
        <v>6</v>
      </c>
      <c r="AO51" s="101">
        <f t="shared" si="46"/>
        <v>0.68404000000000009</v>
      </c>
      <c r="AP51" s="19">
        <f t="shared" ref="AP51:AU51" si="73">AP41</f>
        <v>12399010.627806759</v>
      </c>
      <c r="AQ51" s="19">
        <f t="shared" si="73"/>
        <v>472835.01042252546</v>
      </c>
      <c r="AR51" s="19">
        <f t="shared" si="73"/>
        <v>18031.515077491084</v>
      </c>
      <c r="AS51" s="19">
        <f t="shared" si="73"/>
        <v>687.62999529000001</v>
      </c>
      <c r="AT51" s="19">
        <f t="shared" si="73"/>
        <v>26.2227</v>
      </c>
      <c r="AU51" s="78">
        <f t="shared" si="73"/>
        <v>1</v>
      </c>
      <c r="AX51" s="103">
        <f t="shared" si="60"/>
        <v>30.855377000000001</v>
      </c>
      <c r="AY51" s="78">
        <f t="shared" si="61"/>
        <v>0.60024999999614681</v>
      </c>
      <c r="BA51" s="19">
        <v>6</v>
      </c>
      <c r="BB51" s="101">
        <f t="shared" si="48"/>
        <v>10.804445922176745</v>
      </c>
      <c r="BC51" s="19">
        <f t="shared" ref="BC51:BH51" si="74">BC41</f>
        <v>16807</v>
      </c>
      <c r="BD51" s="19">
        <f t="shared" si="74"/>
        <v>2401</v>
      </c>
      <c r="BE51" s="19">
        <f t="shared" si="74"/>
        <v>343</v>
      </c>
      <c r="BF51" s="19">
        <f t="shared" si="74"/>
        <v>49</v>
      </c>
      <c r="BG51" s="19">
        <f t="shared" si="74"/>
        <v>7</v>
      </c>
      <c r="BH51" s="78">
        <f t="shared" si="74"/>
        <v>1</v>
      </c>
      <c r="BK51" s="103">
        <f t="shared" si="63"/>
        <v>6</v>
      </c>
      <c r="BL51" s="78">
        <f t="shared" si="64"/>
        <v>10.491630495043182</v>
      </c>
    </row>
    <row r="52" spans="1:64">
      <c r="A52" s="19">
        <v>7</v>
      </c>
      <c r="B52" s="83">
        <f t="shared" si="35"/>
        <v>8</v>
      </c>
      <c r="C52" s="19">
        <f t="shared" ref="C52:H52" si="75">C42</f>
        <v>0.27376831992248463</v>
      </c>
      <c r="D52" s="19">
        <f t="shared" si="75"/>
        <v>0.35473705205375394</v>
      </c>
      <c r="E52" s="19">
        <f t="shared" si="75"/>
        <v>0.45965280473437503</v>
      </c>
      <c r="F52" s="19">
        <f t="shared" si="75"/>
        <v>0.59559806250000003</v>
      </c>
      <c r="G52" s="19">
        <f t="shared" si="75"/>
        <v>0.77175000000000005</v>
      </c>
      <c r="H52" s="78">
        <f t="shared" si="75"/>
        <v>1</v>
      </c>
      <c r="K52" s="77">
        <f t="shared" si="51"/>
        <v>0.68404000000000009</v>
      </c>
      <c r="L52" s="106">
        <f t="shared" si="52"/>
        <v>6.9999999988549746</v>
      </c>
      <c r="N52" s="19">
        <v>7</v>
      </c>
      <c r="O52" s="95">
        <f t="shared" si="42"/>
        <v>251.7847221317129</v>
      </c>
      <c r="P52" s="19">
        <f t="shared" ref="P52:U52" si="76">P42</f>
        <v>32768</v>
      </c>
      <c r="Q52" s="19">
        <f t="shared" si="76"/>
        <v>4096</v>
      </c>
      <c r="R52" s="19">
        <f t="shared" si="76"/>
        <v>512</v>
      </c>
      <c r="S52" s="19">
        <f t="shared" si="76"/>
        <v>64</v>
      </c>
      <c r="T52" s="19">
        <f t="shared" si="76"/>
        <v>8</v>
      </c>
      <c r="U52" s="78">
        <f t="shared" si="76"/>
        <v>1</v>
      </c>
      <c r="X52" s="77">
        <f t="shared" si="54"/>
        <v>7</v>
      </c>
      <c r="Y52" s="78">
        <f t="shared" si="55"/>
        <v>283.32174408838364</v>
      </c>
      <c r="AA52" s="19">
        <v>7</v>
      </c>
      <c r="AB52" s="95">
        <f t="shared" si="44"/>
        <v>22.039554999999996</v>
      </c>
      <c r="AC52" s="19">
        <f t="shared" ref="AC52:AH52" si="77">AC42</f>
        <v>0.27376831992248463</v>
      </c>
      <c r="AD52" s="19">
        <f t="shared" si="77"/>
        <v>0.35473705205375394</v>
      </c>
      <c r="AE52" s="19">
        <f t="shared" si="77"/>
        <v>0.45965280473437503</v>
      </c>
      <c r="AF52" s="19">
        <f t="shared" si="77"/>
        <v>0.59559806250000003</v>
      </c>
      <c r="AG52" s="19">
        <f t="shared" si="77"/>
        <v>0.77175000000000005</v>
      </c>
      <c r="AH52" s="78">
        <f t="shared" si="77"/>
        <v>1</v>
      </c>
      <c r="AK52" s="77">
        <f t="shared" si="57"/>
        <v>0.68404000000000009</v>
      </c>
      <c r="AL52" s="78">
        <f t="shared" si="58"/>
        <v>26.222700059906856</v>
      </c>
      <c r="AN52" s="19">
        <v>7</v>
      </c>
      <c r="AO52" s="101">
        <f t="shared" si="46"/>
        <v>0.77175000000000005</v>
      </c>
      <c r="AP52" s="19">
        <f t="shared" ref="AP52:AU52" si="78">AP42</f>
        <v>5200128.8786034174</v>
      </c>
      <c r="AQ52" s="19">
        <f t="shared" si="78"/>
        <v>235945.2756012278</v>
      </c>
      <c r="AR52" s="19">
        <f t="shared" si="78"/>
        <v>10705.53718535732</v>
      </c>
      <c r="AS52" s="19">
        <f t="shared" si="78"/>
        <v>485.74198459802483</v>
      </c>
      <c r="AT52" s="19">
        <f t="shared" si="78"/>
        <v>22.039554999999996</v>
      </c>
      <c r="AU52" s="78">
        <f t="shared" si="78"/>
        <v>1</v>
      </c>
      <c r="AX52" s="103">
        <f t="shared" si="60"/>
        <v>26.2227</v>
      </c>
      <c r="AY52" s="78">
        <f t="shared" si="61"/>
        <v>0.68403999999797693</v>
      </c>
      <c r="BA52" s="19">
        <v>7</v>
      </c>
      <c r="BB52" s="101">
        <f t="shared" si="48"/>
        <v>11.424219868854564</v>
      </c>
      <c r="BC52" s="19">
        <f t="shared" ref="BC52:BH52" si="79">BC42</f>
        <v>32768</v>
      </c>
      <c r="BD52" s="19">
        <f t="shared" si="79"/>
        <v>4096</v>
      </c>
      <c r="BE52" s="19">
        <f t="shared" si="79"/>
        <v>512</v>
      </c>
      <c r="BF52" s="19">
        <f t="shared" si="79"/>
        <v>64</v>
      </c>
      <c r="BG52" s="19">
        <f t="shared" si="79"/>
        <v>8</v>
      </c>
      <c r="BH52" s="78">
        <f t="shared" si="79"/>
        <v>1</v>
      </c>
      <c r="BK52" s="103">
        <f t="shared" si="63"/>
        <v>7</v>
      </c>
      <c r="BL52" s="78">
        <f t="shared" si="64"/>
        <v>10.804445930097472</v>
      </c>
    </row>
    <row r="53" spans="1:64">
      <c r="A53" s="19">
        <v>8</v>
      </c>
      <c r="B53" s="84">
        <f t="shared" si="35"/>
        <v>9</v>
      </c>
      <c r="C53" s="80">
        <f t="shared" ref="C53:H53" si="80">C43</f>
        <v>0.51909345731778245</v>
      </c>
      <c r="D53" s="80">
        <f t="shared" si="80"/>
        <v>0.59182927524544804</v>
      </c>
      <c r="E53" s="80">
        <f t="shared" si="80"/>
        <v>0.67475689801099992</v>
      </c>
      <c r="F53" s="80">
        <f t="shared" si="80"/>
        <v>0.76930440999999994</v>
      </c>
      <c r="G53" s="80">
        <f t="shared" si="80"/>
        <v>0.87709999999999999</v>
      </c>
      <c r="H53" s="81">
        <f t="shared" si="80"/>
        <v>1</v>
      </c>
      <c r="K53" s="77">
        <f t="shared" si="51"/>
        <v>0.77175000000000005</v>
      </c>
      <c r="L53" s="106">
        <f t="shared" si="52"/>
        <v>7.9999999978622611</v>
      </c>
      <c r="N53" s="19">
        <v>8</v>
      </c>
      <c r="O53" s="96">
        <f t="shared" si="42"/>
        <v>226.19791658535507</v>
      </c>
      <c r="P53" s="80">
        <f t="shared" ref="P53:U53" si="81">P43</f>
        <v>59049</v>
      </c>
      <c r="Q53" s="80">
        <f t="shared" si="81"/>
        <v>6561</v>
      </c>
      <c r="R53" s="80">
        <f t="shared" si="81"/>
        <v>729</v>
      </c>
      <c r="S53" s="80">
        <f t="shared" si="81"/>
        <v>81</v>
      </c>
      <c r="T53" s="80">
        <f t="shared" si="81"/>
        <v>9</v>
      </c>
      <c r="U53" s="81">
        <f t="shared" si="81"/>
        <v>1</v>
      </c>
      <c r="X53" s="77">
        <f t="shared" si="54"/>
        <v>8</v>
      </c>
      <c r="Y53" s="78">
        <f t="shared" si="55"/>
        <v>251.78472214198337</v>
      </c>
      <c r="AA53" s="19">
        <v>8</v>
      </c>
      <c r="AB53" s="96">
        <f t="shared" si="44"/>
        <v>14.984399999999999</v>
      </c>
      <c r="AC53" s="80">
        <f t="shared" ref="AC53:AH53" si="82">AC43</f>
        <v>0.51909345731778245</v>
      </c>
      <c r="AD53" s="80">
        <f t="shared" si="82"/>
        <v>0.59182927524544804</v>
      </c>
      <c r="AE53" s="80">
        <f t="shared" si="82"/>
        <v>0.67475689801099992</v>
      </c>
      <c r="AF53" s="80">
        <f t="shared" si="82"/>
        <v>0.76930440999999994</v>
      </c>
      <c r="AG53" s="80">
        <f t="shared" si="82"/>
        <v>0.87709999999999999</v>
      </c>
      <c r="AH53" s="81">
        <f t="shared" si="82"/>
        <v>1</v>
      </c>
      <c r="AK53" s="77">
        <f t="shared" si="57"/>
        <v>0.77175000000000005</v>
      </c>
      <c r="AL53" s="78">
        <f t="shared" si="58"/>
        <v>22.039555103589009</v>
      </c>
      <c r="AN53" s="19">
        <v>8</v>
      </c>
      <c r="AO53" s="102">
        <f t="shared" si="46"/>
        <v>0.87709999999999999</v>
      </c>
      <c r="AP53" s="80">
        <f t="shared" ref="AP53:AU53" si="83">AP43</f>
        <v>755434.45486250462</v>
      </c>
      <c r="AQ53" s="80">
        <f t="shared" si="83"/>
        <v>50414.728308274251</v>
      </c>
      <c r="AR53" s="80">
        <f t="shared" si="83"/>
        <v>3364.4809474035833</v>
      </c>
      <c r="AS53" s="80">
        <f t="shared" si="83"/>
        <v>224.53224335999997</v>
      </c>
      <c r="AT53" s="80">
        <f t="shared" si="83"/>
        <v>14.984399999999999</v>
      </c>
      <c r="AU53" s="81">
        <f t="shared" si="83"/>
        <v>1</v>
      </c>
      <c r="AX53" s="103">
        <f t="shared" si="60"/>
        <v>22.039554999999996</v>
      </c>
      <c r="AY53" s="78">
        <f t="shared" si="61"/>
        <v>0.77174999999896765</v>
      </c>
      <c r="BA53" s="19">
        <v>8</v>
      </c>
      <c r="BB53" s="102">
        <f t="shared" si="48"/>
        <v>15.095560488598482</v>
      </c>
      <c r="BC53" s="80">
        <f t="shared" ref="BC53:BH53" si="84">BC43</f>
        <v>59049</v>
      </c>
      <c r="BD53" s="80">
        <f t="shared" si="84"/>
        <v>6561</v>
      </c>
      <c r="BE53" s="80">
        <f t="shared" si="84"/>
        <v>729</v>
      </c>
      <c r="BF53" s="80">
        <f t="shared" si="84"/>
        <v>81</v>
      </c>
      <c r="BG53" s="80">
        <f t="shared" si="84"/>
        <v>9</v>
      </c>
      <c r="BH53" s="81">
        <f t="shared" si="84"/>
        <v>1</v>
      </c>
      <c r="BK53" s="103">
        <f t="shared" si="63"/>
        <v>8</v>
      </c>
      <c r="BL53" s="78">
        <f t="shared" si="64"/>
        <v>11.424219885878529</v>
      </c>
    </row>
    <row r="54" spans="1:64">
      <c r="K54" s="79">
        <f t="shared" si="51"/>
        <v>0.87709999999999999</v>
      </c>
      <c r="L54" s="107">
        <f t="shared" si="52"/>
        <v>8.999999995888885</v>
      </c>
      <c r="X54" s="79">
        <f t="shared" si="54"/>
        <v>9</v>
      </c>
      <c r="Y54" s="81">
        <f t="shared" si="55"/>
        <v>226.19791660574265</v>
      </c>
      <c r="AK54" s="79">
        <f t="shared" si="57"/>
        <v>0.87709999999999999</v>
      </c>
      <c r="AL54" s="81">
        <f t="shared" si="58"/>
        <v>14.984400184925107</v>
      </c>
      <c r="AX54" s="104">
        <f t="shared" si="60"/>
        <v>14.984399999999999</v>
      </c>
      <c r="AY54" s="78">
        <f t="shared" si="61"/>
        <v>0.87709999999975685</v>
      </c>
      <c r="BK54" s="103">
        <f t="shared" si="63"/>
        <v>9</v>
      </c>
      <c r="BL54" s="78">
        <f t="shared" si="64"/>
        <v>15.095560521858033</v>
      </c>
    </row>
    <row r="55" spans="1:64">
      <c r="A55" s="19" t="s">
        <v>110</v>
      </c>
      <c r="B55" s="19">
        <v>6</v>
      </c>
      <c r="C55" s="19">
        <v>5</v>
      </c>
      <c r="D55" s="19">
        <v>4</v>
      </c>
      <c r="E55" s="19">
        <v>3</v>
      </c>
      <c r="F55" s="19">
        <v>2</v>
      </c>
      <c r="G55" s="19">
        <v>1</v>
      </c>
      <c r="H55" s="19">
        <v>0</v>
      </c>
      <c r="N55" s="19" t="s">
        <v>110</v>
      </c>
      <c r="O55" s="19">
        <v>6</v>
      </c>
      <c r="P55" s="19">
        <v>5</v>
      </c>
      <c r="Q55" s="19">
        <v>4</v>
      </c>
      <c r="R55" s="19">
        <v>3</v>
      </c>
      <c r="S55" s="19">
        <v>2</v>
      </c>
      <c r="T55" s="19">
        <v>1</v>
      </c>
      <c r="U55" s="19">
        <v>0</v>
      </c>
      <c r="AA55" s="19" t="s">
        <v>110</v>
      </c>
      <c r="AB55" s="19">
        <v>6</v>
      </c>
      <c r="AC55" s="19">
        <v>5</v>
      </c>
      <c r="AD55" s="19">
        <v>4</v>
      </c>
      <c r="AE55" s="19">
        <v>3</v>
      </c>
      <c r="AF55" s="19">
        <v>2</v>
      </c>
      <c r="AG55" s="19">
        <v>1</v>
      </c>
      <c r="AH55" s="19">
        <v>0</v>
      </c>
      <c r="AN55" s="19" t="s">
        <v>110</v>
      </c>
      <c r="AO55" s="19">
        <v>6</v>
      </c>
      <c r="AP55" s="19">
        <v>5</v>
      </c>
      <c r="AQ55" s="19">
        <v>4</v>
      </c>
      <c r="AR55" s="19">
        <v>3</v>
      </c>
      <c r="AS55" s="19">
        <v>2</v>
      </c>
      <c r="AT55" s="19">
        <v>1</v>
      </c>
      <c r="AU55" s="19">
        <v>0</v>
      </c>
      <c r="BA55" s="19" t="s">
        <v>110</v>
      </c>
      <c r="BB55" s="19">
        <v>6</v>
      </c>
      <c r="BC55" s="19">
        <v>5</v>
      </c>
      <c r="BD55" s="19">
        <v>4</v>
      </c>
      <c r="BE55" s="19">
        <v>3</v>
      </c>
      <c r="BF55" s="19">
        <v>2</v>
      </c>
      <c r="BG55" s="19">
        <v>1</v>
      </c>
      <c r="BH55" s="19">
        <v>0</v>
      </c>
    </row>
    <row r="56" spans="1:64">
      <c r="A56" s="19">
        <v>2</v>
      </c>
      <c r="B56" s="74">
        <f>B37</f>
        <v>1.5733738139927513E-3</v>
      </c>
      <c r="C56" s="85">
        <f>B47</f>
        <v>3</v>
      </c>
      <c r="D56" s="75">
        <f>D47</f>
        <v>1.35276163687449E-2</v>
      </c>
      <c r="E56" s="75">
        <f t="shared" ref="E56:H56" si="85">E47</f>
        <v>3.9665776356864003E-2</v>
      </c>
      <c r="F56" s="75">
        <f t="shared" si="85"/>
        <v>0.11630828160000001</v>
      </c>
      <c r="G56" s="75">
        <f t="shared" si="85"/>
        <v>0.34104000000000001</v>
      </c>
      <c r="H56" s="76">
        <f t="shared" si="85"/>
        <v>1</v>
      </c>
      <c r="I56" s="19">
        <f>IF($B$4=7,MDETERM(B56:H62),IF($B$4=6,MDETERM(C56:H61),IF($B$4=5,MDETERM(D56:H60),IF($B$4=4,MDETERM(E56:H59),IF($B$4=3,MDETERM(F56:H58),"ERRO")))))</f>
        <v>3.7162357108785509E-11</v>
      </c>
      <c r="K56" s="234" t="s">
        <v>120</v>
      </c>
      <c r="L56" s="235"/>
      <c r="N56" s="19">
        <v>2</v>
      </c>
      <c r="O56" s="74">
        <f>O37</f>
        <v>729</v>
      </c>
      <c r="P56" s="85">
        <f>O47</f>
        <v>566.77140926841628</v>
      </c>
      <c r="Q56" s="75">
        <f>Q47</f>
        <v>81</v>
      </c>
      <c r="R56" s="75">
        <f t="shared" ref="R56:U56" si="86">R47</f>
        <v>27</v>
      </c>
      <c r="S56" s="75">
        <f t="shared" si="86"/>
        <v>9</v>
      </c>
      <c r="T56" s="75">
        <f t="shared" si="86"/>
        <v>3</v>
      </c>
      <c r="U56" s="76">
        <f t="shared" si="86"/>
        <v>1</v>
      </c>
      <c r="V56" s="19">
        <f>IF($B$4=7,MDETERM(O56:U62),IF($B$4=6,MDETERM(P56:U61),IF($B$4=5,MDETERM(Q56:U60),IF($B$4=4,MDETERM(R56:U59),IF($B$4=3,MDETERM(S56:U58),"ERRO")))))</f>
        <v>14869195.537763411</v>
      </c>
      <c r="X56" s="234" t="s">
        <v>120</v>
      </c>
      <c r="Y56" s="235"/>
      <c r="AA56" s="19">
        <v>2</v>
      </c>
      <c r="AB56" s="74">
        <f>AB37</f>
        <v>1.5733738139927513E-3</v>
      </c>
      <c r="AC56" s="85">
        <f>AB47</f>
        <v>66.181100000000001</v>
      </c>
      <c r="AD56" s="75">
        <f>AD47</f>
        <v>1.35276163687449E-2</v>
      </c>
      <c r="AE56" s="75">
        <f t="shared" ref="AE56:AH56" si="87">AE47</f>
        <v>3.9665776356864003E-2</v>
      </c>
      <c r="AF56" s="75">
        <f t="shared" si="87"/>
        <v>0.11630828160000001</v>
      </c>
      <c r="AG56" s="75">
        <f t="shared" si="87"/>
        <v>0.34104000000000001</v>
      </c>
      <c r="AH56" s="76">
        <f t="shared" si="87"/>
        <v>1</v>
      </c>
      <c r="AI56" s="19">
        <f>IF($B$4=7,MDETERM(AB56:AH62),IF($B$4=6,MDETERM(AC56:AH61),IF($B$4=5,MDETERM(AD56:AH60),IF($B$4=4,MDETERM(AE56:AH59),IF($B$4=3,MDETERM(AF56:AH58),"ERRO")))))</f>
        <v>1.7971280106360262E-9</v>
      </c>
      <c r="AK56" s="234" t="s">
        <v>120</v>
      </c>
      <c r="AL56" s="235"/>
      <c r="AN56" s="19">
        <v>2</v>
      </c>
      <c r="AO56" s="74">
        <f>AO37</f>
        <v>84024103591.541061</v>
      </c>
      <c r="AP56" s="85">
        <f>AO47</f>
        <v>0.34104000000000001</v>
      </c>
      <c r="AQ56" s="75">
        <f>AQ47</f>
        <v>19183856.859403949</v>
      </c>
      <c r="AR56" s="75">
        <f t="shared" ref="AR56:AU56" si="88">AR47</f>
        <v>289869.11458715476</v>
      </c>
      <c r="AS56" s="75">
        <f t="shared" si="88"/>
        <v>4379.9379972100005</v>
      </c>
      <c r="AT56" s="75">
        <f t="shared" si="88"/>
        <v>66.181100000000001</v>
      </c>
      <c r="AU56" s="76">
        <f t="shared" si="88"/>
        <v>1</v>
      </c>
      <c r="AV56" s="19">
        <f>IF($B$4=7,MDETERM(AO56:AU62),IF($B$4=6,MDETERM(AP56:AU61),IF($B$4=5,MDETERM(AQ56:AU60),IF($B$4=4,MDETERM(AR56:AU59),IF($B$4=3,MDETERM(AS56:AU58),"ERRO")))))</f>
        <v>-3.8322159848699412E+19</v>
      </c>
      <c r="AX56" s="234" t="s">
        <v>120</v>
      </c>
      <c r="AY56" s="235"/>
      <c r="BA56" s="19">
        <v>2</v>
      </c>
      <c r="BB56" s="74">
        <f>BB37</f>
        <v>729</v>
      </c>
      <c r="BC56" s="85">
        <f>BB47</f>
        <v>8.5639466444108105</v>
      </c>
      <c r="BD56" s="75">
        <f>BD47</f>
        <v>81</v>
      </c>
      <c r="BE56" s="75">
        <f t="shared" ref="BE56:BH56" si="89">BE47</f>
        <v>27</v>
      </c>
      <c r="BF56" s="75">
        <f t="shared" si="89"/>
        <v>9</v>
      </c>
      <c r="BG56" s="75">
        <f t="shared" si="89"/>
        <v>3</v>
      </c>
      <c r="BH56" s="76">
        <f t="shared" si="89"/>
        <v>1</v>
      </c>
      <c r="BI56" s="19">
        <f>IF($B$4=7,MDETERM(BB56:BH62),IF($B$4=6,MDETERM(BC56:BH61),IF($B$4=5,MDETERM(BD56:BH60),IF($B$4=4,MDETERM(BE56:BH59),IF($B$4=3,MDETERM(BF56:BH58),"ERRO")))))</f>
        <v>-26944547.324871138</v>
      </c>
      <c r="BK56" s="234" t="s">
        <v>120</v>
      </c>
      <c r="BL56" s="235"/>
    </row>
    <row r="57" spans="1:64">
      <c r="A57" s="19">
        <v>3</v>
      </c>
      <c r="B57" s="77">
        <f t="shared" ref="B57:B62" si="90">B38</f>
        <v>6.2119048992555544E-3</v>
      </c>
      <c r="C57" s="93">
        <f t="shared" ref="C57:C62" si="91">B48</f>
        <v>4</v>
      </c>
      <c r="D57" s="19">
        <f t="shared" ref="D57:H57" si="92">D48</f>
        <v>3.3792205080566393E-2</v>
      </c>
      <c r="E57" s="19">
        <f t="shared" si="92"/>
        <v>7.881563867187498E-2</v>
      </c>
      <c r="F57" s="19">
        <f t="shared" si="92"/>
        <v>0.18382656249999996</v>
      </c>
      <c r="G57" s="19">
        <f t="shared" si="92"/>
        <v>0.42874999999999996</v>
      </c>
      <c r="H57" s="78">
        <f t="shared" si="92"/>
        <v>1</v>
      </c>
      <c r="J57" s="19">
        <v>1</v>
      </c>
      <c r="K57" s="77">
        <f>SMALL(K48:K54,1)</f>
        <v>0.34104000000000001</v>
      </c>
      <c r="L57" s="78">
        <f>IF(K57="","",$L$37*(K57^6)+$L$38*(K57^5)+$L$39*(K57^4)+$L$40*(K57^3)+$L$41*(K57^2)+$L$42*(K57^1)+$L$43)</f>
        <v>2.9999999999766089</v>
      </c>
      <c r="N57" s="19">
        <v>3</v>
      </c>
      <c r="O57" s="77">
        <f t="shared" ref="O57:O62" si="93">O38</f>
        <v>4096</v>
      </c>
      <c r="P57" s="93">
        <f t="shared" ref="P57:P62" si="94">O48</f>
        <v>453.21249983708327</v>
      </c>
      <c r="Q57" s="19">
        <f t="shared" ref="Q57:U57" si="95">Q48</f>
        <v>256</v>
      </c>
      <c r="R57" s="19">
        <f t="shared" si="95"/>
        <v>64</v>
      </c>
      <c r="S57" s="19">
        <f t="shared" si="95"/>
        <v>16</v>
      </c>
      <c r="T57" s="19">
        <f t="shared" si="95"/>
        <v>4</v>
      </c>
      <c r="U57" s="78">
        <f t="shared" si="95"/>
        <v>1</v>
      </c>
      <c r="W57" s="19">
        <v>1</v>
      </c>
      <c r="X57" s="77">
        <f>SMALL(X48:X54,1)</f>
        <v>3</v>
      </c>
      <c r="Y57" s="78">
        <f>IF(X57="","",$Y$37*(X57^6)+$Y$38*(X57^5)+$Y$39*(X57^4)+$Y$40*(X57^3)+$Y$41*(X57^2)+$Y$42*(X57^1)+$Y$43)</f>
        <v>566.77140926858192</v>
      </c>
      <c r="AA57" s="19">
        <v>3</v>
      </c>
      <c r="AB57" s="77">
        <f t="shared" ref="AB57:AB62" si="96">AB38</f>
        <v>6.2119048992555544E-3</v>
      </c>
      <c r="AC57" s="93">
        <f t="shared" ref="AC57:AC62" si="97">AB48</f>
        <v>49.947999999999993</v>
      </c>
      <c r="AD57" s="19">
        <f t="shared" ref="AD57:AH57" si="98">AD48</f>
        <v>3.3792205080566393E-2</v>
      </c>
      <c r="AE57" s="19">
        <f t="shared" si="98"/>
        <v>7.881563867187498E-2</v>
      </c>
      <c r="AF57" s="19">
        <f t="shared" si="98"/>
        <v>0.18382656249999996</v>
      </c>
      <c r="AG57" s="19">
        <f t="shared" si="98"/>
        <v>0.42874999999999996</v>
      </c>
      <c r="AH57" s="78">
        <f t="shared" si="98"/>
        <v>1</v>
      </c>
      <c r="AJ57" s="19">
        <v>1</v>
      </c>
      <c r="AK57" s="77">
        <f>SMALL(AK48:AK54,1)</f>
        <v>0.34104000000000001</v>
      </c>
      <c r="AL57" s="78">
        <f>IF(AK57="","",$AL$37*(AK57^6)+$AL$38*(AK57^5)+$AL$39*(AK57^4)+$AL$40*(AK57^3)+$AL$41*(AK57^2)+$AL$42*(AK57^1)+$AL$43)</f>
        <v>66.181100002564563</v>
      </c>
      <c r="AN57" s="19">
        <v>3</v>
      </c>
      <c r="AO57" s="77">
        <f t="shared" ref="AO57:AO62" si="99">AO38</f>
        <v>15527753148.754057</v>
      </c>
      <c r="AP57" s="93">
        <f t="shared" ref="AP57:AP62" si="100">AO48</f>
        <v>0.42874999999999996</v>
      </c>
      <c r="AQ57" s="19">
        <f t="shared" ref="AQ57:AU57" si="101">AQ48</f>
        <v>6224040.5318857078</v>
      </c>
      <c r="AR57" s="19">
        <f t="shared" si="101"/>
        <v>124610.40545939194</v>
      </c>
      <c r="AS57" s="19">
        <f t="shared" si="101"/>
        <v>2494.8027039999993</v>
      </c>
      <c r="AT57" s="19">
        <f t="shared" si="101"/>
        <v>49.947999999999993</v>
      </c>
      <c r="AU57" s="78">
        <f t="shared" si="101"/>
        <v>1</v>
      </c>
      <c r="AW57" s="19">
        <v>1</v>
      </c>
      <c r="AX57" s="77">
        <f>SMALL(AX48:AX54,1)</f>
        <v>14.984399999999999</v>
      </c>
      <c r="AY57" s="78">
        <f t="shared" ref="AY57:AY107" si="102">IF(AX57="","",$AY$37*(AX57^6)+$AY$38*(AX57^5)+$AY$39*(AX57^4)+$AY$40*(AX57^3)+$AY$41*(AX57^2)+$AY$42*(AX57^1)+$AY$43)</f>
        <v>0.87709999999975685</v>
      </c>
      <c r="BA57" s="19">
        <v>3</v>
      </c>
      <c r="BB57" s="77">
        <f t="shared" ref="BB57:BB62" si="103">BB38</f>
        <v>4096</v>
      </c>
      <c r="BC57" s="93">
        <f t="shared" ref="BC57:BC62" si="104">BB48</f>
        <v>9.073686630837738</v>
      </c>
      <c r="BD57" s="19">
        <f t="shared" ref="BD57:BH57" si="105">BD48</f>
        <v>256</v>
      </c>
      <c r="BE57" s="19">
        <f t="shared" si="105"/>
        <v>64</v>
      </c>
      <c r="BF57" s="19">
        <f t="shared" si="105"/>
        <v>16</v>
      </c>
      <c r="BG57" s="19">
        <f t="shared" si="105"/>
        <v>4</v>
      </c>
      <c r="BH57" s="78">
        <f t="shared" si="105"/>
        <v>1</v>
      </c>
      <c r="BJ57" s="19">
        <v>1</v>
      </c>
      <c r="BK57" s="77">
        <f>SMALL(BK48:BK54,1)</f>
        <v>3</v>
      </c>
      <c r="BL57" s="78">
        <f t="shared" ref="BL57:BL107" si="106">IF(BK57="","",$BL$37*(BK57^6)+$BL$38*(BK57^5)+$BL$39*(BK57^4)+$BL$40*(BK57^3)+$BL$41*(BK57^2)+$BL$42*(BK57^1)+$BL$43)</f>
        <v>8.5639466444456502</v>
      </c>
    </row>
    <row r="58" spans="1:64">
      <c r="A58" s="19">
        <v>4</v>
      </c>
      <c r="B58" s="77">
        <f t="shared" si="90"/>
        <v>1.6720708047084056E-2</v>
      </c>
      <c r="C58" s="93">
        <f t="shared" si="91"/>
        <v>5</v>
      </c>
      <c r="D58" s="19">
        <f t="shared" ref="D58:H58" si="107">D49</f>
        <v>6.5388761141726398E-2</v>
      </c>
      <c r="E58" s="19">
        <f t="shared" si="107"/>
        <v>0.12930857685043193</v>
      </c>
      <c r="F58" s="19">
        <f t="shared" si="107"/>
        <v>0.25571226239999989</v>
      </c>
      <c r="G58" s="19">
        <f t="shared" si="107"/>
        <v>0.50567999999999991</v>
      </c>
      <c r="H58" s="78">
        <f t="shared" si="107"/>
        <v>1</v>
      </c>
      <c r="J58" s="19">
        <v>2</v>
      </c>
      <c r="K58" s="77">
        <f>(($K$107-$K$57)/($J$107-1))+K57</f>
        <v>0.3517612</v>
      </c>
      <c r="L58" s="78">
        <f t="shared" ref="L58:L107" si="108">IF(K58="","",$L$37*(K58^6)+$L$38*(K58^5)+$L$39*(K58^4)+$L$40*(K58^3)+$L$41*(K58^2)+$L$42*(K58^1)+$L$43)</f>
        <v>3.0403787227052419</v>
      </c>
      <c r="N58" s="19">
        <v>4</v>
      </c>
      <c r="O58" s="77">
        <f t="shared" si="93"/>
        <v>15625</v>
      </c>
      <c r="P58" s="93">
        <f t="shared" si="94"/>
        <v>378.18911451079146</v>
      </c>
      <c r="Q58" s="19">
        <f t="shared" ref="Q58:U58" si="109">Q49</f>
        <v>625</v>
      </c>
      <c r="R58" s="19">
        <f t="shared" si="109"/>
        <v>125</v>
      </c>
      <c r="S58" s="19">
        <f t="shared" si="109"/>
        <v>25</v>
      </c>
      <c r="T58" s="19">
        <f t="shared" si="109"/>
        <v>5</v>
      </c>
      <c r="U58" s="78">
        <f t="shared" si="109"/>
        <v>1</v>
      </c>
      <c r="W58" s="19">
        <v>2</v>
      </c>
      <c r="X58" s="77">
        <f>(($X$107-$X$57)/($W$107-1))+X57</f>
        <v>3.12</v>
      </c>
      <c r="Y58" s="78">
        <f t="shared" ref="Y58:Y107" si="110">IF(X58="","",$Y$37*(X58^6)+$Y$38*(X58^5)+$Y$39*(X58^4)+$Y$40*(X58^3)+$Y$41*(X58^2)+$Y$42*(X58^1)+$Y$43)</f>
        <v>549.88460718330998</v>
      </c>
      <c r="AA58" s="19">
        <v>4</v>
      </c>
      <c r="AB58" s="77">
        <f t="shared" si="96"/>
        <v>1.6720708047084056E-2</v>
      </c>
      <c r="AC58" s="93">
        <f t="shared" si="97"/>
        <v>44.953199999999995</v>
      </c>
      <c r="AD58" s="19">
        <f t="shared" ref="AD58:AH58" si="111">AD49</f>
        <v>6.5388761141726398E-2</v>
      </c>
      <c r="AE58" s="19">
        <f t="shared" si="111"/>
        <v>0.12930857685043193</v>
      </c>
      <c r="AF58" s="19">
        <f t="shared" si="111"/>
        <v>0.25571226239999989</v>
      </c>
      <c r="AG58" s="19">
        <f t="shared" si="111"/>
        <v>0.50567999999999991</v>
      </c>
      <c r="AH58" s="78">
        <f t="shared" si="111"/>
        <v>1</v>
      </c>
      <c r="AJ58" s="19">
        <v>2</v>
      </c>
      <c r="AK58" s="77">
        <f>(($AK$107-$AK$57)/($AJ$107-1))+AK57</f>
        <v>0.3517612</v>
      </c>
      <c r="AL58" s="78">
        <f t="shared" ref="AL58:AL107" si="112">IF(AK58="","",$AL$37*(AK58^6)+$AL$38*(AK58^5)+$AL$39*(AK58^4)+$AL$40*(AK58^3)+$AL$41*(AK58^2)+$AL$42*(AK58^1)+$AL$43)</f>
        <v>59.989535913604414</v>
      </c>
      <c r="AN58" s="19">
        <v>4</v>
      </c>
      <c r="AO58" s="77">
        <f t="shared" si="99"/>
        <v>8252084661.1270084</v>
      </c>
      <c r="AP58" s="93">
        <f t="shared" si="100"/>
        <v>0.50567999999999991</v>
      </c>
      <c r="AQ58" s="19">
        <f t="shared" ref="AQ58:AU58" si="113">AQ49</f>
        <v>4083592.9929702142</v>
      </c>
      <c r="AR58" s="19">
        <f t="shared" si="113"/>
        <v>90840.985579896747</v>
      </c>
      <c r="AS58" s="19">
        <f t="shared" si="113"/>
        <v>2020.7901902399997</v>
      </c>
      <c r="AT58" s="19">
        <f t="shared" si="113"/>
        <v>44.953199999999995</v>
      </c>
      <c r="AU58" s="78">
        <f t="shared" si="113"/>
        <v>1</v>
      </c>
      <c r="AW58" s="19">
        <v>2</v>
      </c>
      <c r="AX58" s="77">
        <f>(($AX$107-$AX$57)/($AW$107-1))+AX57</f>
        <v>16.008333999999998</v>
      </c>
      <c r="AY58" s="78">
        <f t="shared" si="102"/>
        <v>0.86750078288775767</v>
      </c>
      <c r="AZ58" s="19">
        <f>AY58-AY57</f>
        <v>-9.5992171119991809E-3</v>
      </c>
      <c r="BA58" s="19">
        <v>4</v>
      </c>
      <c r="BB58" s="77">
        <f t="shared" si="103"/>
        <v>15625</v>
      </c>
      <c r="BC58" s="93">
        <f t="shared" si="104"/>
        <v>8.4129520147796271</v>
      </c>
      <c r="BD58" s="19">
        <f t="shared" ref="BD58:BH58" si="114">BD49</f>
        <v>625</v>
      </c>
      <c r="BE58" s="19">
        <f t="shared" si="114"/>
        <v>125</v>
      </c>
      <c r="BF58" s="19">
        <f t="shared" si="114"/>
        <v>25</v>
      </c>
      <c r="BG58" s="19">
        <f t="shared" si="114"/>
        <v>5</v>
      </c>
      <c r="BH58" s="78">
        <f t="shared" si="114"/>
        <v>1</v>
      </c>
      <c r="BJ58" s="19">
        <v>2</v>
      </c>
      <c r="BK58" s="77">
        <f>(($BK$107-$BK$57)/($BJ$107-1))+BK57</f>
        <v>3.12</v>
      </c>
      <c r="BL58" s="78">
        <f t="shared" si="106"/>
        <v>9.608190370550119</v>
      </c>
    </row>
    <row r="59" spans="1:64">
      <c r="A59" s="19">
        <v>5</v>
      </c>
      <c r="B59" s="77">
        <f t="shared" si="90"/>
        <v>4.6772761567521089E-2</v>
      </c>
      <c r="C59" s="93">
        <f t="shared" si="91"/>
        <v>6</v>
      </c>
      <c r="D59" s="19">
        <f t="shared" ref="D59:H59" si="115">D50</f>
        <v>0.12981613503750389</v>
      </c>
      <c r="E59" s="19">
        <f t="shared" si="115"/>
        <v>0.21627011251562495</v>
      </c>
      <c r="F59" s="19">
        <f t="shared" si="115"/>
        <v>0.36030006249999996</v>
      </c>
      <c r="G59" s="19">
        <f t="shared" si="115"/>
        <v>0.60024999999999995</v>
      </c>
      <c r="H59" s="78">
        <f t="shared" si="115"/>
        <v>1</v>
      </c>
      <c r="J59" s="19">
        <v>3</v>
      </c>
      <c r="K59" s="77">
        <f t="shared" ref="K59:K106" si="116">(($K$107-$K$57)/($J$107-1))+K58</f>
        <v>0.36248239999999998</v>
      </c>
      <c r="L59" s="78">
        <f t="shared" si="108"/>
        <v>3.1198943359001134</v>
      </c>
      <c r="N59" s="19">
        <v>5</v>
      </c>
      <c r="O59" s="77">
        <f t="shared" si="93"/>
        <v>46656</v>
      </c>
      <c r="P59" s="93">
        <f t="shared" si="94"/>
        <v>323.72321416934517</v>
      </c>
      <c r="Q59" s="19">
        <f t="shared" ref="Q59:U59" si="117">Q50</f>
        <v>1296</v>
      </c>
      <c r="R59" s="19">
        <f t="shared" si="117"/>
        <v>216</v>
      </c>
      <c r="S59" s="19">
        <f t="shared" si="117"/>
        <v>36</v>
      </c>
      <c r="T59" s="19">
        <f t="shared" si="117"/>
        <v>6</v>
      </c>
      <c r="U59" s="78">
        <f t="shared" si="117"/>
        <v>1</v>
      </c>
      <c r="W59" s="19">
        <v>3</v>
      </c>
      <c r="X59" s="77">
        <f t="shared" ref="X59:X106" si="118">(($X$107-$X$57)/($W$107-1))+X58</f>
        <v>3.24</v>
      </c>
      <c r="Y59" s="78">
        <f t="shared" si="110"/>
        <v>534.0876482677495</v>
      </c>
      <c r="AA59" s="19">
        <v>5</v>
      </c>
      <c r="AB59" s="77">
        <f t="shared" si="96"/>
        <v>4.6772761567521089E-2</v>
      </c>
      <c r="AC59" s="93">
        <f t="shared" si="97"/>
        <v>30.855377000000001</v>
      </c>
      <c r="AD59" s="19">
        <f t="shared" ref="AD59:AH59" si="119">AD50</f>
        <v>0.12981613503750389</v>
      </c>
      <c r="AE59" s="19">
        <f t="shared" si="119"/>
        <v>0.21627011251562495</v>
      </c>
      <c r="AF59" s="19">
        <f t="shared" si="119"/>
        <v>0.36030006249999996</v>
      </c>
      <c r="AG59" s="19">
        <f t="shared" si="119"/>
        <v>0.60024999999999995</v>
      </c>
      <c r="AH59" s="78">
        <f t="shared" si="119"/>
        <v>1</v>
      </c>
      <c r="AJ59" s="19">
        <v>3</v>
      </c>
      <c r="AK59" s="77">
        <f t="shared" ref="AK59:AK106" si="120">(($AK$107-$AK$57)/($AJ$107-1))+AK58</f>
        <v>0.36248239999999998</v>
      </c>
      <c r="AL59" s="78">
        <f t="shared" si="112"/>
        <v>55.76355753720236</v>
      </c>
      <c r="AN59" s="19">
        <v>5</v>
      </c>
      <c r="AO59" s="77">
        <f t="shared" si="99"/>
        <v>862949025.63956308</v>
      </c>
      <c r="AP59" s="93">
        <f t="shared" si="100"/>
        <v>0.60024999999999995</v>
      </c>
      <c r="AQ59" s="19">
        <f t="shared" ref="AQ59:AU59" si="121">AQ50</f>
        <v>906407.3707496773</v>
      </c>
      <c r="AR59" s="19">
        <f t="shared" si="121"/>
        <v>29375.994036620501</v>
      </c>
      <c r="AS59" s="19">
        <f t="shared" si="121"/>
        <v>952.05428981212901</v>
      </c>
      <c r="AT59" s="19">
        <f t="shared" si="121"/>
        <v>30.855377000000001</v>
      </c>
      <c r="AU59" s="78">
        <f t="shared" si="121"/>
        <v>1</v>
      </c>
      <c r="AW59" s="19">
        <v>3</v>
      </c>
      <c r="AX59" s="77">
        <f t="shared" ref="AX59:AX106" si="122">(($AX$107-$AX$57)/($AW$107-1))+AX58</f>
        <v>17.032267999999998</v>
      </c>
      <c r="AY59" s="78">
        <f t="shared" si="102"/>
        <v>0.85587650550206429</v>
      </c>
      <c r="AZ59" s="19">
        <f t="shared" ref="AZ59:AZ107" si="123">AY59-AY58</f>
        <v>-1.1624277385693382E-2</v>
      </c>
      <c r="BA59" s="19">
        <v>5</v>
      </c>
      <c r="BB59" s="77">
        <f t="shared" si="103"/>
        <v>46656</v>
      </c>
      <c r="BC59" s="93">
        <f t="shared" si="104"/>
        <v>10.491630491805211</v>
      </c>
      <c r="BD59" s="19">
        <f t="shared" ref="BD59:BH59" si="124">BD50</f>
        <v>1296</v>
      </c>
      <c r="BE59" s="19">
        <f t="shared" si="124"/>
        <v>216</v>
      </c>
      <c r="BF59" s="19">
        <f t="shared" si="124"/>
        <v>36</v>
      </c>
      <c r="BG59" s="19">
        <f t="shared" si="124"/>
        <v>6</v>
      </c>
      <c r="BH59" s="78">
        <f t="shared" si="124"/>
        <v>1</v>
      </c>
      <c r="BJ59" s="19">
        <v>3</v>
      </c>
      <c r="BK59" s="77">
        <f t="shared" ref="BK59:BK106" si="125">(($BK$107-$BK$57)/($BJ$107-1))+BK58</f>
        <v>3.24</v>
      </c>
      <c r="BL59" s="78">
        <f t="shared" si="106"/>
        <v>10.189446047955926</v>
      </c>
    </row>
    <row r="60" spans="1:64">
      <c r="A60" s="19">
        <v>6</v>
      </c>
      <c r="B60" s="77">
        <f t="shared" si="90"/>
        <v>0.10244458085321199</v>
      </c>
      <c r="C60" s="93">
        <f t="shared" si="91"/>
        <v>7</v>
      </c>
      <c r="D60" s="19">
        <f t="shared" ref="D60:H60" si="126">D51</f>
        <v>0.21894044338823282</v>
      </c>
      <c r="E60" s="19">
        <f t="shared" si="126"/>
        <v>0.32006965000326415</v>
      </c>
      <c r="F60" s="19">
        <f t="shared" si="126"/>
        <v>0.46791072160000013</v>
      </c>
      <c r="G60" s="19">
        <f t="shared" si="126"/>
        <v>0.68404000000000009</v>
      </c>
      <c r="H60" s="78">
        <f t="shared" si="126"/>
        <v>1</v>
      </c>
      <c r="J60" s="19">
        <v>4</v>
      </c>
      <c r="K60" s="77">
        <f t="shared" si="116"/>
        <v>0.37320359999999997</v>
      </c>
      <c r="L60" s="78">
        <f t="shared" si="108"/>
        <v>3.2288048145726691</v>
      </c>
      <c r="N60" s="19">
        <v>6</v>
      </c>
      <c r="O60" s="77">
        <f t="shared" si="93"/>
        <v>117649</v>
      </c>
      <c r="P60" s="93">
        <f t="shared" si="94"/>
        <v>283.32174408346413</v>
      </c>
      <c r="Q60" s="19">
        <f t="shared" ref="Q60:U60" si="127">Q51</f>
        <v>2401</v>
      </c>
      <c r="R60" s="19">
        <f t="shared" si="127"/>
        <v>343</v>
      </c>
      <c r="S60" s="19">
        <f t="shared" si="127"/>
        <v>49</v>
      </c>
      <c r="T60" s="19">
        <f t="shared" si="127"/>
        <v>7</v>
      </c>
      <c r="U60" s="78">
        <f t="shared" si="127"/>
        <v>1</v>
      </c>
      <c r="W60" s="19">
        <v>4</v>
      </c>
      <c r="X60" s="77">
        <f t="shared" si="118"/>
        <v>3.3600000000000003</v>
      </c>
      <c r="Y60" s="78">
        <f t="shared" si="110"/>
        <v>519.27124653329611</v>
      </c>
      <c r="AA60" s="19">
        <v>6</v>
      </c>
      <c r="AB60" s="77">
        <f t="shared" si="96"/>
        <v>0.10244458085321199</v>
      </c>
      <c r="AC60" s="93">
        <f t="shared" si="97"/>
        <v>26.2227</v>
      </c>
      <c r="AD60" s="19">
        <f t="shared" ref="AD60:AH60" si="128">AD51</f>
        <v>0.21894044338823282</v>
      </c>
      <c r="AE60" s="19">
        <f t="shared" si="128"/>
        <v>0.32006965000326415</v>
      </c>
      <c r="AF60" s="19">
        <f t="shared" si="128"/>
        <v>0.46791072160000013</v>
      </c>
      <c r="AG60" s="19">
        <f t="shared" si="128"/>
        <v>0.68404000000000009</v>
      </c>
      <c r="AH60" s="78">
        <f t="shared" si="128"/>
        <v>1</v>
      </c>
      <c r="AJ60" s="19">
        <v>4</v>
      </c>
      <c r="AK60" s="77">
        <f t="shared" si="120"/>
        <v>0.37320359999999997</v>
      </c>
      <c r="AL60" s="78">
        <f t="shared" si="112"/>
        <v>53.030392728642255</v>
      </c>
      <c r="AN60" s="19">
        <v>6</v>
      </c>
      <c r="AO60" s="77">
        <f t="shared" si="99"/>
        <v>325135535.98978829</v>
      </c>
      <c r="AP60" s="93">
        <f t="shared" si="100"/>
        <v>0.68404000000000009</v>
      </c>
      <c r="AQ60" s="19">
        <f t="shared" ref="AQ60:AU60" si="129">AQ51</f>
        <v>472835.01042252546</v>
      </c>
      <c r="AR60" s="19">
        <f t="shared" si="129"/>
        <v>18031.515077491084</v>
      </c>
      <c r="AS60" s="19">
        <f t="shared" si="129"/>
        <v>687.62999529000001</v>
      </c>
      <c r="AT60" s="19">
        <f t="shared" si="129"/>
        <v>26.2227</v>
      </c>
      <c r="AU60" s="78">
        <f t="shared" si="129"/>
        <v>1</v>
      </c>
      <c r="AW60" s="19">
        <v>4</v>
      </c>
      <c r="AX60" s="77">
        <f t="shared" si="122"/>
        <v>18.056201999999999</v>
      </c>
      <c r="AY60" s="78">
        <f t="shared" si="102"/>
        <v>0.84216792796815088</v>
      </c>
      <c r="AZ60" s="19">
        <f t="shared" si="123"/>
        <v>-1.3708577533913413E-2</v>
      </c>
      <c r="BA60" s="19">
        <v>6</v>
      </c>
      <c r="BB60" s="77">
        <f t="shared" si="103"/>
        <v>117649</v>
      </c>
      <c r="BC60" s="93">
        <f t="shared" si="104"/>
        <v>10.804445922176745</v>
      </c>
      <c r="BD60" s="19">
        <f t="shared" ref="BD60:BH60" si="130">BD51</f>
        <v>2401</v>
      </c>
      <c r="BE60" s="19">
        <f t="shared" si="130"/>
        <v>343</v>
      </c>
      <c r="BF60" s="19">
        <f t="shared" si="130"/>
        <v>49</v>
      </c>
      <c r="BG60" s="19">
        <f t="shared" si="130"/>
        <v>7</v>
      </c>
      <c r="BH60" s="78">
        <f t="shared" si="130"/>
        <v>1</v>
      </c>
      <c r="BJ60" s="19">
        <v>4</v>
      </c>
      <c r="BK60" s="77">
        <f t="shared" si="125"/>
        <v>3.3600000000000003</v>
      </c>
      <c r="BL60" s="78">
        <f t="shared" si="106"/>
        <v>10.421018166284512</v>
      </c>
    </row>
    <row r="61" spans="1:64">
      <c r="A61" s="19">
        <v>7</v>
      </c>
      <c r="B61" s="77">
        <f t="shared" si="90"/>
        <v>0.2112807009001775</v>
      </c>
      <c r="C61" s="93">
        <f t="shared" si="91"/>
        <v>8</v>
      </c>
      <c r="D61" s="19">
        <f t="shared" ref="D61:H61" si="131">D52</f>
        <v>0.35473705205375394</v>
      </c>
      <c r="E61" s="19">
        <f t="shared" si="131"/>
        <v>0.45965280473437503</v>
      </c>
      <c r="F61" s="19">
        <f t="shared" si="131"/>
        <v>0.59559806250000003</v>
      </c>
      <c r="G61" s="19">
        <f t="shared" si="131"/>
        <v>0.77175000000000005</v>
      </c>
      <c r="H61" s="78">
        <f t="shared" si="131"/>
        <v>1</v>
      </c>
      <c r="J61" s="19">
        <v>5</v>
      </c>
      <c r="K61" s="77">
        <f t="shared" si="116"/>
        <v>0.38392479999999995</v>
      </c>
      <c r="L61" s="78">
        <f t="shared" si="108"/>
        <v>3.3588816912967161</v>
      </c>
      <c r="N61" s="19">
        <v>7</v>
      </c>
      <c r="O61" s="77">
        <f t="shared" si="93"/>
        <v>262144</v>
      </c>
      <c r="P61" s="93">
        <f t="shared" si="94"/>
        <v>251.7847221317129</v>
      </c>
      <c r="Q61" s="19">
        <f t="shared" ref="Q61:U61" si="132">Q52</f>
        <v>4096</v>
      </c>
      <c r="R61" s="19">
        <f t="shared" si="132"/>
        <v>512</v>
      </c>
      <c r="S61" s="19">
        <f t="shared" si="132"/>
        <v>64</v>
      </c>
      <c r="T61" s="19">
        <f t="shared" si="132"/>
        <v>8</v>
      </c>
      <c r="U61" s="78">
        <f t="shared" si="132"/>
        <v>1</v>
      </c>
      <c r="W61" s="19">
        <v>5</v>
      </c>
      <c r="X61" s="77">
        <f t="shared" si="118"/>
        <v>3.4800000000000004</v>
      </c>
      <c r="Y61" s="78">
        <f t="shared" si="110"/>
        <v>505.33746908094872</v>
      </c>
      <c r="AA61" s="19">
        <v>7</v>
      </c>
      <c r="AB61" s="77">
        <f t="shared" si="96"/>
        <v>0.2112807009001775</v>
      </c>
      <c r="AC61" s="93">
        <f t="shared" si="97"/>
        <v>22.039554999999996</v>
      </c>
      <c r="AD61" s="19">
        <f t="shared" ref="AD61:AH61" si="133">AD52</f>
        <v>0.35473705205375394</v>
      </c>
      <c r="AE61" s="19">
        <f t="shared" si="133"/>
        <v>0.45965280473437503</v>
      </c>
      <c r="AF61" s="19">
        <f t="shared" si="133"/>
        <v>0.59559806250000003</v>
      </c>
      <c r="AG61" s="19">
        <f t="shared" si="133"/>
        <v>0.77175000000000005</v>
      </c>
      <c r="AH61" s="78">
        <f t="shared" si="133"/>
        <v>1</v>
      </c>
      <c r="AJ61" s="19">
        <v>5</v>
      </c>
      <c r="AK61" s="77">
        <f t="shared" si="120"/>
        <v>0.38392479999999995</v>
      </c>
      <c r="AL61" s="78">
        <f t="shared" si="112"/>
        <v>51.390361929223218</v>
      </c>
      <c r="AN61" s="19">
        <v>7</v>
      </c>
      <c r="AO61" s="77">
        <f t="shared" si="99"/>
        <v>114608526.42706832</v>
      </c>
      <c r="AP61" s="93">
        <f t="shared" si="100"/>
        <v>0.77175000000000005</v>
      </c>
      <c r="AQ61" s="19">
        <f t="shared" ref="AQ61:AU61" si="134">AQ52</f>
        <v>235945.2756012278</v>
      </c>
      <c r="AR61" s="19">
        <f t="shared" si="134"/>
        <v>10705.53718535732</v>
      </c>
      <c r="AS61" s="19">
        <f t="shared" si="134"/>
        <v>485.74198459802483</v>
      </c>
      <c r="AT61" s="19">
        <f t="shared" si="134"/>
        <v>22.039554999999996</v>
      </c>
      <c r="AU61" s="78">
        <f t="shared" si="134"/>
        <v>1</v>
      </c>
      <c r="AW61" s="19">
        <v>5</v>
      </c>
      <c r="AX61" s="77">
        <f t="shared" si="122"/>
        <v>19.080136</v>
      </c>
      <c r="AY61" s="78">
        <f t="shared" si="102"/>
        <v>0.8264498000644418</v>
      </c>
      <c r="AZ61" s="19">
        <f t="shared" si="123"/>
        <v>-1.5718127903709078E-2</v>
      </c>
      <c r="BA61" s="19">
        <v>7</v>
      </c>
      <c r="BB61" s="77">
        <f t="shared" si="103"/>
        <v>262144</v>
      </c>
      <c r="BC61" s="93">
        <f t="shared" si="104"/>
        <v>11.424219868854564</v>
      </c>
      <c r="BD61" s="19">
        <f t="shared" ref="BD61:BH61" si="135">BD52</f>
        <v>4096</v>
      </c>
      <c r="BE61" s="19">
        <f t="shared" si="135"/>
        <v>512</v>
      </c>
      <c r="BF61" s="19">
        <f t="shared" si="135"/>
        <v>64</v>
      </c>
      <c r="BG61" s="19">
        <f t="shared" si="135"/>
        <v>8</v>
      </c>
      <c r="BH61" s="78">
        <f t="shared" si="135"/>
        <v>1</v>
      </c>
      <c r="BJ61" s="19">
        <v>5</v>
      </c>
      <c r="BK61" s="77">
        <f t="shared" si="125"/>
        <v>3.4800000000000004</v>
      </c>
      <c r="BL61" s="78">
        <f t="shared" si="106"/>
        <v>10.399180513775036</v>
      </c>
    </row>
    <row r="62" spans="1:64">
      <c r="A62" s="19">
        <v>8</v>
      </c>
      <c r="B62" s="79">
        <f t="shared" si="90"/>
        <v>0.45529687141342695</v>
      </c>
      <c r="C62" s="86">
        <f t="shared" si="91"/>
        <v>9</v>
      </c>
      <c r="D62" s="80">
        <f t="shared" ref="D62:H62" si="136">D53</f>
        <v>0.59182927524544804</v>
      </c>
      <c r="E62" s="80">
        <f t="shared" si="136"/>
        <v>0.67475689801099992</v>
      </c>
      <c r="F62" s="80">
        <f t="shared" si="136"/>
        <v>0.76930440999999994</v>
      </c>
      <c r="G62" s="80">
        <f t="shared" si="136"/>
        <v>0.87709999999999999</v>
      </c>
      <c r="H62" s="81">
        <f t="shared" si="136"/>
        <v>1</v>
      </c>
      <c r="J62" s="19">
        <v>6</v>
      </c>
      <c r="K62" s="77">
        <f t="shared" si="116"/>
        <v>0.39464599999999994</v>
      </c>
      <c r="L62" s="78">
        <f t="shared" si="108"/>
        <v>3.5032695960273088</v>
      </c>
      <c r="N62" s="19">
        <v>8</v>
      </c>
      <c r="O62" s="79">
        <f t="shared" si="93"/>
        <v>531441</v>
      </c>
      <c r="P62" s="86">
        <f t="shared" si="94"/>
        <v>226.19791658535507</v>
      </c>
      <c r="Q62" s="80">
        <f t="shared" ref="Q62:U62" si="137">Q53</f>
        <v>6561</v>
      </c>
      <c r="R62" s="80">
        <f t="shared" si="137"/>
        <v>729</v>
      </c>
      <c r="S62" s="80">
        <f t="shared" si="137"/>
        <v>81</v>
      </c>
      <c r="T62" s="80">
        <f t="shared" si="137"/>
        <v>9</v>
      </c>
      <c r="U62" s="81">
        <f t="shared" si="137"/>
        <v>1</v>
      </c>
      <c r="W62" s="19">
        <v>6</v>
      </c>
      <c r="X62" s="77">
        <f t="shared" si="118"/>
        <v>3.6000000000000005</v>
      </c>
      <c r="Y62" s="78">
        <f t="shared" si="110"/>
        <v>492.1988702154963</v>
      </c>
      <c r="AA62" s="19">
        <v>8</v>
      </c>
      <c r="AB62" s="79">
        <f t="shared" si="96"/>
        <v>0.45529687141342695</v>
      </c>
      <c r="AC62" s="86">
        <f t="shared" si="97"/>
        <v>14.984399999999999</v>
      </c>
      <c r="AD62" s="80">
        <f t="shared" ref="AD62:AH62" si="138">AD53</f>
        <v>0.59182927524544804</v>
      </c>
      <c r="AE62" s="80">
        <f t="shared" si="138"/>
        <v>0.67475689801099992</v>
      </c>
      <c r="AF62" s="80">
        <f t="shared" si="138"/>
        <v>0.76930440999999994</v>
      </c>
      <c r="AG62" s="80">
        <f t="shared" si="138"/>
        <v>0.87709999999999999</v>
      </c>
      <c r="AH62" s="81">
        <f t="shared" si="138"/>
        <v>1</v>
      </c>
      <c r="AJ62" s="19">
        <v>6</v>
      </c>
      <c r="AK62" s="77">
        <f t="shared" si="120"/>
        <v>0.39464599999999994</v>
      </c>
      <c r="AL62" s="78">
        <f t="shared" si="112"/>
        <v>50.510098193544763</v>
      </c>
      <c r="AN62" s="19">
        <v>8</v>
      </c>
      <c r="AO62" s="79">
        <f t="shared" si="99"/>
        <v>11319732.045441713</v>
      </c>
      <c r="AP62" s="86">
        <f t="shared" si="100"/>
        <v>0.87709999999999999</v>
      </c>
      <c r="AQ62" s="80">
        <f t="shared" ref="AQ62:AU62" si="139">AQ53</f>
        <v>50414.728308274251</v>
      </c>
      <c r="AR62" s="80">
        <f t="shared" si="139"/>
        <v>3364.4809474035833</v>
      </c>
      <c r="AS62" s="80">
        <f t="shared" si="139"/>
        <v>224.53224335999997</v>
      </c>
      <c r="AT62" s="80">
        <f t="shared" si="139"/>
        <v>14.984399999999999</v>
      </c>
      <c r="AU62" s="81">
        <f t="shared" si="139"/>
        <v>1</v>
      </c>
      <c r="AW62" s="19">
        <v>6</v>
      </c>
      <c r="AX62" s="77">
        <f t="shared" si="122"/>
        <v>20.10407</v>
      </c>
      <c r="AY62" s="78">
        <f t="shared" si="102"/>
        <v>0.80890525135330393</v>
      </c>
      <c r="AZ62" s="19">
        <f t="shared" si="123"/>
        <v>-1.7544548711137864E-2</v>
      </c>
      <c r="BA62" s="19">
        <v>8</v>
      </c>
      <c r="BB62" s="79">
        <f t="shared" si="103"/>
        <v>531441</v>
      </c>
      <c r="BC62" s="86">
        <f t="shared" si="104"/>
        <v>15.095560488598482</v>
      </c>
      <c r="BD62" s="80">
        <f t="shared" ref="BD62:BH62" si="140">BD53</f>
        <v>6561</v>
      </c>
      <c r="BE62" s="80">
        <f t="shared" si="140"/>
        <v>729</v>
      </c>
      <c r="BF62" s="80">
        <f t="shared" si="140"/>
        <v>81</v>
      </c>
      <c r="BG62" s="80">
        <f t="shared" si="140"/>
        <v>9</v>
      </c>
      <c r="BH62" s="81">
        <f t="shared" si="140"/>
        <v>1</v>
      </c>
      <c r="BJ62" s="19">
        <v>6</v>
      </c>
      <c r="BK62" s="77">
        <f t="shared" si="125"/>
        <v>3.6000000000000005</v>
      </c>
      <c r="BL62" s="78">
        <f t="shared" si="106"/>
        <v>10.204693363750948</v>
      </c>
    </row>
    <row r="63" spans="1:64">
      <c r="J63" s="19">
        <v>7</v>
      </c>
      <c r="K63" s="77">
        <f t="shared" si="116"/>
        <v>0.40536719999999993</v>
      </c>
      <c r="L63" s="78">
        <f t="shared" si="108"/>
        <v>3.6563518378873425</v>
      </c>
      <c r="W63" s="19">
        <v>7</v>
      </c>
      <c r="X63" s="77">
        <f t="shared" si="118"/>
        <v>3.7200000000000006</v>
      </c>
      <c r="Y63" s="78">
        <f t="shared" si="110"/>
        <v>479.77765895671564</v>
      </c>
      <c r="AJ63" s="19">
        <v>7</v>
      </c>
      <c r="AK63" s="77">
        <f t="shared" si="120"/>
        <v>0.40536719999999993</v>
      </c>
      <c r="AL63" s="78">
        <f t="shared" si="112"/>
        <v>50.116059764533929</v>
      </c>
      <c r="AW63" s="19">
        <v>7</v>
      </c>
      <c r="AX63" s="77">
        <f t="shared" si="122"/>
        <v>21.128004000000001</v>
      </c>
      <c r="AY63" s="78">
        <f t="shared" si="102"/>
        <v>0.78980187973001503</v>
      </c>
      <c r="AZ63" s="19">
        <f t="shared" si="123"/>
        <v>-1.9103371623288901E-2</v>
      </c>
      <c r="BJ63" s="19">
        <v>7</v>
      </c>
      <c r="BK63" s="77">
        <f t="shared" si="125"/>
        <v>3.7200000000000006</v>
      </c>
      <c r="BL63" s="78">
        <f t="shared" si="106"/>
        <v>9.904258255301329</v>
      </c>
    </row>
    <row r="64" spans="1:64">
      <c r="A64" s="19" t="s">
        <v>110</v>
      </c>
      <c r="B64" s="19">
        <v>6</v>
      </c>
      <c r="C64" s="19">
        <v>5</v>
      </c>
      <c r="D64" s="19">
        <v>4</v>
      </c>
      <c r="E64" s="19">
        <v>3</v>
      </c>
      <c r="F64" s="19">
        <v>2</v>
      </c>
      <c r="G64" s="19">
        <v>1</v>
      </c>
      <c r="H64" s="19">
        <v>0</v>
      </c>
      <c r="J64" s="19">
        <v>8</v>
      </c>
      <c r="K64" s="77">
        <f t="shared" si="116"/>
        <v>0.41608839999999991</v>
      </c>
      <c r="L64" s="78">
        <f t="shared" si="108"/>
        <v>3.8136220289309506</v>
      </c>
      <c r="N64" s="19" t="s">
        <v>110</v>
      </c>
      <c r="O64" s="19">
        <v>6</v>
      </c>
      <c r="P64" s="19">
        <v>5</v>
      </c>
      <c r="Q64" s="19">
        <v>4</v>
      </c>
      <c r="R64" s="19">
        <v>3</v>
      </c>
      <c r="S64" s="19">
        <v>2</v>
      </c>
      <c r="T64" s="19">
        <v>1</v>
      </c>
      <c r="U64" s="19">
        <v>0</v>
      </c>
      <c r="W64" s="19">
        <v>8</v>
      </c>
      <c r="X64" s="77">
        <f t="shared" si="118"/>
        <v>3.8400000000000007</v>
      </c>
      <c r="Y64" s="78">
        <f t="shared" si="110"/>
        <v>468.00489994756208</v>
      </c>
      <c r="AA64" s="19" t="s">
        <v>110</v>
      </c>
      <c r="AB64" s="19">
        <v>6</v>
      </c>
      <c r="AC64" s="19">
        <v>5</v>
      </c>
      <c r="AD64" s="19">
        <v>4</v>
      </c>
      <c r="AE64" s="19">
        <v>3</v>
      </c>
      <c r="AF64" s="19">
        <v>2</v>
      </c>
      <c r="AG64" s="19">
        <v>1</v>
      </c>
      <c r="AH64" s="19">
        <v>0</v>
      </c>
      <c r="AJ64" s="19">
        <v>8</v>
      </c>
      <c r="AK64" s="77">
        <f t="shared" si="120"/>
        <v>0.41608839999999991</v>
      </c>
      <c r="AL64" s="78">
        <f t="shared" si="112"/>
        <v>49.988335195956097</v>
      </c>
      <c r="AN64" s="19" t="s">
        <v>110</v>
      </c>
      <c r="AO64" s="19">
        <v>6</v>
      </c>
      <c r="AP64" s="19">
        <v>5</v>
      </c>
      <c r="AQ64" s="19">
        <v>4</v>
      </c>
      <c r="AR64" s="19">
        <v>3</v>
      </c>
      <c r="AS64" s="19">
        <v>2</v>
      </c>
      <c r="AT64" s="19">
        <v>1</v>
      </c>
      <c r="AU64" s="19">
        <v>0</v>
      </c>
      <c r="AW64" s="19">
        <v>8</v>
      </c>
      <c r="AX64" s="77">
        <f t="shared" si="122"/>
        <v>22.151938000000001</v>
      </c>
      <c r="AY64" s="78">
        <f t="shared" si="102"/>
        <v>0.7694695383896486</v>
      </c>
      <c r="AZ64" s="19">
        <f t="shared" si="123"/>
        <v>-2.0332341340366433E-2</v>
      </c>
      <c r="BA64" s="19" t="s">
        <v>110</v>
      </c>
      <c r="BB64" s="19">
        <v>6</v>
      </c>
      <c r="BC64" s="19">
        <v>5</v>
      </c>
      <c r="BD64" s="19">
        <v>4</v>
      </c>
      <c r="BE64" s="19">
        <v>3</v>
      </c>
      <c r="BF64" s="19">
        <v>2</v>
      </c>
      <c r="BG64" s="19">
        <v>1</v>
      </c>
      <c r="BH64" s="19">
        <v>0</v>
      </c>
      <c r="BJ64" s="19">
        <v>8</v>
      </c>
      <c r="BK64" s="77">
        <f t="shared" si="125"/>
        <v>3.8400000000000007</v>
      </c>
      <c r="BL64" s="78">
        <f t="shared" si="106"/>
        <v>9.5519103681610886</v>
      </c>
    </row>
    <row r="65" spans="1:64">
      <c r="A65" s="19">
        <v>2</v>
      </c>
      <c r="B65" s="74">
        <f>B56</f>
        <v>1.5733738139927513E-3</v>
      </c>
      <c r="C65" s="75">
        <f>C47</f>
        <v>4.6134582863967613E-3</v>
      </c>
      <c r="D65" s="85">
        <f>C56</f>
        <v>3</v>
      </c>
      <c r="E65" s="75">
        <f>E56</f>
        <v>3.9665776356864003E-2</v>
      </c>
      <c r="F65" s="75">
        <f t="shared" ref="F65:H65" si="141">F56</f>
        <v>0.11630828160000001</v>
      </c>
      <c r="G65" s="75">
        <f t="shared" si="141"/>
        <v>0.34104000000000001</v>
      </c>
      <c r="H65" s="76">
        <f t="shared" si="141"/>
        <v>1</v>
      </c>
      <c r="I65" s="19">
        <f>IF($B$4=7,MDETERM(B65:H71),IF($B$4=6,MDETERM(C65:H70),IF($B$4=5,MDETERM(D65:H69),IF($B$4=4,MDETERM(E65:H68),IF($B$4=3,MDETERM(F65:H67),"ERRO")))))</f>
        <v>-5.6235933720413996E-11</v>
      </c>
      <c r="J65" s="19">
        <v>9</v>
      </c>
      <c r="K65" s="77">
        <f t="shared" si="116"/>
        <v>0.4268095999999999</v>
      </c>
      <c r="L65" s="78">
        <f t="shared" si="108"/>
        <v>3.9715617498777931</v>
      </c>
      <c r="N65" s="19">
        <v>2</v>
      </c>
      <c r="O65" s="74">
        <f>O56</f>
        <v>729</v>
      </c>
      <c r="P65" s="75">
        <f>P47</f>
        <v>243</v>
      </c>
      <c r="Q65" s="85">
        <f>P56</f>
        <v>566.77140926841628</v>
      </c>
      <c r="R65" s="75">
        <f>R56</f>
        <v>27</v>
      </c>
      <c r="S65" s="75">
        <f t="shared" ref="S65:U65" si="142">S56</f>
        <v>9</v>
      </c>
      <c r="T65" s="75">
        <f t="shared" si="142"/>
        <v>3</v>
      </c>
      <c r="U65" s="76">
        <f t="shared" si="142"/>
        <v>1</v>
      </c>
      <c r="V65" s="19">
        <f>IF($B$4=7,MDETERM(O65:U71),IF($B$4=6,MDETERM(P65:U70),IF($B$4=5,MDETERM(Q65:U69),IF($B$4=4,MDETERM(R65:U68),IF($B$4=3,MDETERM(S65:U67),"ERRO")))))</f>
        <v>-236752542.38281071</v>
      </c>
      <c r="W65" s="19">
        <v>9</v>
      </c>
      <c r="X65" s="77">
        <f t="shared" si="118"/>
        <v>3.9600000000000009</v>
      </c>
      <c r="Y65" s="78">
        <f t="shared" si="110"/>
        <v>456.81974775937942</v>
      </c>
      <c r="AA65" s="19">
        <v>2</v>
      </c>
      <c r="AB65" s="74">
        <f>AB56</f>
        <v>1.5733738139927513E-3</v>
      </c>
      <c r="AC65" s="75">
        <f>AC47</f>
        <v>4.6134582863967613E-3</v>
      </c>
      <c r="AD65" s="85">
        <f>AC56</f>
        <v>66.181100000000001</v>
      </c>
      <c r="AE65" s="75">
        <f>AE56</f>
        <v>3.9665776356864003E-2</v>
      </c>
      <c r="AF65" s="75">
        <f t="shared" ref="AF65:AH65" si="143">AF56</f>
        <v>0.11630828160000001</v>
      </c>
      <c r="AG65" s="75">
        <f t="shared" si="143"/>
        <v>0.34104000000000001</v>
      </c>
      <c r="AH65" s="76">
        <f t="shared" si="143"/>
        <v>1</v>
      </c>
      <c r="AI65" s="19">
        <f>IF($B$4=7,MDETERM(AB65:AH71),IF($B$4=6,MDETERM(AC65:AH70),IF($B$4=5,MDETERM(AD65:AH69),IF($B$4=4,MDETERM(AE65:AH68),IF($B$4=3,MDETERM(AF65:AH67),"ERRO")))))</f>
        <v>-2.7177287746839739E-9</v>
      </c>
      <c r="AJ65" s="19">
        <v>9</v>
      </c>
      <c r="AK65" s="77">
        <f t="shared" si="120"/>
        <v>0.4268095999999999</v>
      </c>
      <c r="AL65" s="78">
        <f t="shared" si="112"/>
        <v>49.954741022547751</v>
      </c>
      <c r="AN65" s="19">
        <v>2</v>
      </c>
      <c r="AO65" s="74">
        <f>AO56</f>
        <v>84024103591.541061</v>
      </c>
      <c r="AP65" s="75">
        <f>AP47</f>
        <v>1269608749.1978986</v>
      </c>
      <c r="AQ65" s="85">
        <f>AP56</f>
        <v>0.34104000000000001</v>
      </c>
      <c r="AR65" s="75">
        <f>AR56</f>
        <v>289869.11458715476</v>
      </c>
      <c r="AS65" s="75">
        <f t="shared" ref="AS65:AU65" si="144">AS56</f>
        <v>4379.9379972100005</v>
      </c>
      <c r="AT65" s="75">
        <f t="shared" si="144"/>
        <v>66.181100000000001</v>
      </c>
      <c r="AU65" s="76">
        <f t="shared" si="144"/>
        <v>1</v>
      </c>
      <c r="AV65" s="19">
        <f>IF($B$4=7,MDETERM(AO65:AU71),IF($B$4=6,MDETERM(AP65:AU70),IF($B$4=5,MDETERM(AQ65:AU69),IF($B$4=4,MDETERM(AR65:AU68),IF($B$4=3,MDETERM(AS65:AU67),"ERRO")))))</f>
        <v>2.90042255568719E+21</v>
      </c>
      <c r="AW65" s="19">
        <v>9</v>
      </c>
      <c r="AX65" s="77">
        <f t="shared" si="122"/>
        <v>23.175872000000002</v>
      </c>
      <c r="AY65" s="78">
        <f t="shared" si="102"/>
        <v>0.74827982121196235</v>
      </c>
      <c r="AZ65" s="19">
        <f t="shared" si="123"/>
        <v>-2.1189717177686251E-2</v>
      </c>
      <c r="BA65" s="19">
        <v>2</v>
      </c>
      <c r="BB65" s="74">
        <f>BB56</f>
        <v>729</v>
      </c>
      <c r="BC65" s="75">
        <f>BC47</f>
        <v>243</v>
      </c>
      <c r="BD65" s="85">
        <f>BC56</f>
        <v>8.5639466444108105</v>
      </c>
      <c r="BE65" s="75">
        <f>BE56</f>
        <v>27</v>
      </c>
      <c r="BF65" s="75">
        <f t="shared" ref="BF65:BH65" si="145">BF56</f>
        <v>9</v>
      </c>
      <c r="BG65" s="75">
        <f t="shared" si="145"/>
        <v>3</v>
      </c>
      <c r="BH65" s="76">
        <f t="shared" si="145"/>
        <v>1</v>
      </c>
      <c r="BI65" s="19">
        <f>IF($B$4=7,MDETERM(BB65:BH71),IF($B$4=6,MDETERM(BC65:BH70),IF($B$4=5,MDETERM(BD65:BH69),IF($B$4=4,MDETERM(BE65:BH68),IF($B$4=3,MDETERM(BF65:BH67),"ERRO")))))</f>
        <v>407868617.3286953</v>
      </c>
      <c r="BJ65" s="19">
        <v>9</v>
      </c>
      <c r="BK65" s="77">
        <f t="shared" si="125"/>
        <v>3.9600000000000009</v>
      </c>
      <c r="BL65" s="78">
        <f t="shared" si="106"/>
        <v>9.1903484918123013</v>
      </c>
    </row>
    <row r="66" spans="1:64">
      <c r="A66" s="19">
        <v>3</v>
      </c>
      <c r="B66" s="77">
        <f t="shared" ref="B66:B71" si="146">B57</f>
        <v>6.2119048992555544E-3</v>
      </c>
      <c r="C66" s="19">
        <f t="shared" ref="C66:C71" si="147">C48</f>
        <v>1.448840792829284E-2</v>
      </c>
      <c r="D66" s="93">
        <f>C57</f>
        <v>4</v>
      </c>
      <c r="E66" s="19">
        <f t="shared" ref="E66:H66" si="148">E57</f>
        <v>7.881563867187498E-2</v>
      </c>
      <c r="F66" s="19">
        <f t="shared" si="148"/>
        <v>0.18382656249999996</v>
      </c>
      <c r="G66" s="19">
        <f t="shared" si="148"/>
        <v>0.42874999999999996</v>
      </c>
      <c r="H66" s="78">
        <f t="shared" si="148"/>
        <v>1</v>
      </c>
      <c r="J66" s="19">
        <v>10</v>
      </c>
      <c r="K66" s="77">
        <f t="shared" si="116"/>
        <v>0.43753079999999989</v>
      </c>
      <c r="L66" s="78">
        <f t="shared" si="108"/>
        <v>4.1275242578185782</v>
      </c>
      <c r="N66" s="19">
        <v>3</v>
      </c>
      <c r="O66" s="77">
        <f t="shared" ref="O66:O71" si="149">O57</f>
        <v>4096</v>
      </c>
      <c r="P66" s="19">
        <f t="shared" ref="P66:P71" si="150">P48</f>
        <v>1024</v>
      </c>
      <c r="Q66" s="93">
        <f>P57</f>
        <v>453.21249983708327</v>
      </c>
      <c r="R66" s="19">
        <f t="shared" ref="R66:U66" si="151">R57</f>
        <v>64</v>
      </c>
      <c r="S66" s="19">
        <f t="shared" si="151"/>
        <v>16</v>
      </c>
      <c r="T66" s="19">
        <f t="shared" si="151"/>
        <v>4</v>
      </c>
      <c r="U66" s="78">
        <f t="shared" si="151"/>
        <v>1</v>
      </c>
      <c r="W66" s="19">
        <v>10</v>
      </c>
      <c r="X66" s="77">
        <f t="shared" si="118"/>
        <v>4.080000000000001</v>
      </c>
      <c r="Y66" s="78">
        <f t="shared" si="110"/>
        <v>446.16871459409958</v>
      </c>
      <c r="AA66" s="19">
        <v>3</v>
      </c>
      <c r="AB66" s="77">
        <f t="shared" ref="AB66:AB71" si="152">AB57</f>
        <v>6.2119048992555544E-3</v>
      </c>
      <c r="AC66" s="19">
        <f t="shared" ref="AC66:AC71" si="153">AC48</f>
        <v>1.448840792829284E-2</v>
      </c>
      <c r="AD66" s="93">
        <f>AC57</f>
        <v>49.947999999999993</v>
      </c>
      <c r="AE66" s="19">
        <f t="shared" ref="AE66:AH66" si="154">AE57</f>
        <v>7.881563867187498E-2</v>
      </c>
      <c r="AF66" s="19">
        <f t="shared" si="154"/>
        <v>0.18382656249999996</v>
      </c>
      <c r="AG66" s="19">
        <f t="shared" si="154"/>
        <v>0.42874999999999996</v>
      </c>
      <c r="AH66" s="78">
        <f t="shared" si="154"/>
        <v>1</v>
      </c>
      <c r="AJ66" s="19">
        <v>10</v>
      </c>
      <c r="AK66" s="77">
        <f t="shared" si="120"/>
        <v>0.43753079999999989</v>
      </c>
      <c r="AL66" s="78">
        <f t="shared" si="112"/>
        <v>49.885211977451036</v>
      </c>
      <c r="AN66" s="19">
        <v>3</v>
      </c>
      <c r="AO66" s="77">
        <f t="shared" ref="AO66:AO71" si="155">AO57</f>
        <v>15527753148.754057</v>
      </c>
      <c r="AP66" s="19">
        <f t="shared" ref="AP66:AP71" si="156">AP48</f>
        <v>310878376.48662728</v>
      </c>
      <c r="AQ66" s="93">
        <f>AP57</f>
        <v>0.42874999999999996</v>
      </c>
      <c r="AR66" s="19">
        <f t="shared" ref="AR66:AU66" si="157">AR57</f>
        <v>124610.40545939194</v>
      </c>
      <c r="AS66" s="19">
        <f t="shared" si="157"/>
        <v>2494.8027039999993</v>
      </c>
      <c r="AT66" s="19">
        <f t="shared" si="157"/>
        <v>49.947999999999993</v>
      </c>
      <c r="AU66" s="78">
        <f t="shared" si="157"/>
        <v>1</v>
      </c>
      <c r="AW66" s="19">
        <v>10</v>
      </c>
      <c r="AX66" s="77">
        <f t="shared" si="122"/>
        <v>24.199806000000002</v>
      </c>
      <c r="AY66" s="78">
        <f t="shared" si="102"/>
        <v>0.72662724656420408</v>
      </c>
      <c r="AZ66" s="19">
        <f t="shared" si="123"/>
        <v>-2.1652574647758271E-2</v>
      </c>
      <c r="BA66" s="19">
        <v>3</v>
      </c>
      <c r="BB66" s="77">
        <f t="shared" ref="BB66:BB71" si="158">BB57</f>
        <v>4096</v>
      </c>
      <c r="BC66" s="19">
        <f t="shared" ref="BC66:BC71" si="159">BC48</f>
        <v>1024</v>
      </c>
      <c r="BD66" s="93">
        <f>BC57</f>
        <v>9.073686630837738</v>
      </c>
      <c r="BE66" s="19">
        <f t="shared" ref="BE66:BH66" si="160">BE57</f>
        <v>64</v>
      </c>
      <c r="BF66" s="19">
        <f t="shared" si="160"/>
        <v>16</v>
      </c>
      <c r="BG66" s="19">
        <f t="shared" si="160"/>
        <v>4</v>
      </c>
      <c r="BH66" s="78">
        <f t="shared" si="160"/>
        <v>1</v>
      </c>
      <c r="BJ66" s="19">
        <v>10</v>
      </c>
      <c r="BK66" s="77">
        <f t="shared" si="125"/>
        <v>4.080000000000001</v>
      </c>
      <c r="BL66" s="78">
        <f t="shared" si="106"/>
        <v>8.8522025887998552</v>
      </c>
    </row>
    <row r="67" spans="1:64">
      <c r="A67" s="19">
        <v>4</v>
      </c>
      <c r="B67" s="77">
        <f t="shared" si="146"/>
        <v>1.6720708047084056E-2</v>
      </c>
      <c r="C67" s="19">
        <f t="shared" si="147"/>
        <v>3.3065788734148199E-2</v>
      </c>
      <c r="D67" s="93">
        <f t="shared" ref="D67:D71" si="161">C58</f>
        <v>5</v>
      </c>
      <c r="E67" s="19">
        <f t="shared" ref="E67:H67" si="162">E58</f>
        <v>0.12930857685043193</v>
      </c>
      <c r="F67" s="19">
        <f t="shared" si="162"/>
        <v>0.25571226239999989</v>
      </c>
      <c r="G67" s="19">
        <f t="shared" si="162"/>
        <v>0.50567999999999991</v>
      </c>
      <c r="H67" s="78">
        <f t="shared" si="162"/>
        <v>1</v>
      </c>
      <c r="J67" s="19">
        <v>11</v>
      </c>
      <c r="K67" s="77">
        <f t="shared" si="116"/>
        <v>0.44825199999999987</v>
      </c>
      <c r="L67" s="78">
        <f t="shared" si="108"/>
        <v>4.2796242358977281</v>
      </c>
      <c r="N67" s="19">
        <v>4</v>
      </c>
      <c r="O67" s="77">
        <f t="shared" si="149"/>
        <v>15625</v>
      </c>
      <c r="P67" s="19">
        <f t="shared" si="150"/>
        <v>3125</v>
      </c>
      <c r="Q67" s="93">
        <f t="shared" ref="Q67:Q71" si="163">P58</f>
        <v>378.18911451079146</v>
      </c>
      <c r="R67" s="19">
        <f t="shared" ref="R67:U67" si="164">R58</f>
        <v>125</v>
      </c>
      <c r="S67" s="19">
        <f t="shared" si="164"/>
        <v>25</v>
      </c>
      <c r="T67" s="19">
        <f t="shared" si="164"/>
        <v>5</v>
      </c>
      <c r="U67" s="78">
        <f t="shared" si="164"/>
        <v>1</v>
      </c>
      <c r="W67" s="19">
        <v>11</v>
      </c>
      <c r="X67" s="77">
        <f t="shared" si="118"/>
        <v>4.2000000000000011</v>
      </c>
      <c r="Y67" s="78">
        <f t="shared" si="110"/>
        <v>436.00497138346509</v>
      </c>
      <c r="AA67" s="19">
        <v>4</v>
      </c>
      <c r="AB67" s="77">
        <f t="shared" si="152"/>
        <v>1.6720708047084056E-2</v>
      </c>
      <c r="AC67" s="19">
        <f t="shared" si="153"/>
        <v>3.3065788734148199E-2</v>
      </c>
      <c r="AD67" s="93">
        <f t="shared" ref="AD67:AD71" si="165">AC58</f>
        <v>44.953199999999995</v>
      </c>
      <c r="AE67" s="19">
        <f t="shared" ref="AE67:AH67" si="166">AE58</f>
        <v>0.12930857685043193</v>
      </c>
      <c r="AF67" s="19">
        <f t="shared" si="166"/>
        <v>0.25571226239999989</v>
      </c>
      <c r="AG67" s="19">
        <f t="shared" si="166"/>
        <v>0.50567999999999991</v>
      </c>
      <c r="AH67" s="78">
        <f t="shared" si="166"/>
        <v>1</v>
      </c>
      <c r="AJ67" s="19">
        <v>11</v>
      </c>
      <c r="AK67" s="77">
        <f t="shared" si="120"/>
        <v>0.44825199999999987</v>
      </c>
      <c r="AL67" s="78">
        <f t="shared" si="112"/>
        <v>49.686483757488531</v>
      </c>
      <c r="AN67" s="19">
        <v>4</v>
      </c>
      <c r="AO67" s="77">
        <f t="shared" si="155"/>
        <v>8252084661.1270084</v>
      </c>
      <c r="AP67" s="19">
        <f t="shared" si="156"/>
        <v>183570572.53158861</v>
      </c>
      <c r="AQ67" s="93">
        <f t="shared" ref="AQ67:AQ71" si="167">AP58</f>
        <v>0.50567999999999991</v>
      </c>
      <c r="AR67" s="19">
        <f t="shared" ref="AR67:AU67" si="168">AR58</f>
        <v>90840.985579896747</v>
      </c>
      <c r="AS67" s="19">
        <f t="shared" si="168"/>
        <v>2020.7901902399997</v>
      </c>
      <c r="AT67" s="19">
        <f t="shared" si="168"/>
        <v>44.953199999999995</v>
      </c>
      <c r="AU67" s="78">
        <f t="shared" si="168"/>
        <v>1</v>
      </c>
      <c r="AW67" s="19">
        <v>11</v>
      </c>
      <c r="AX67" s="77">
        <f t="shared" si="122"/>
        <v>25.223740000000003</v>
      </c>
      <c r="AY67" s="78">
        <f t="shared" si="102"/>
        <v>0.70491213952189269</v>
      </c>
      <c r="AZ67" s="19">
        <f t="shared" si="123"/>
        <v>-2.1715107042311388E-2</v>
      </c>
      <c r="BA67" s="19">
        <v>4</v>
      </c>
      <c r="BB67" s="77">
        <f t="shared" si="158"/>
        <v>15625</v>
      </c>
      <c r="BC67" s="19">
        <f t="shared" si="159"/>
        <v>3125</v>
      </c>
      <c r="BD67" s="93">
        <f t="shared" ref="BD67:BD71" si="169">BC58</f>
        <v>8.4129520147796271</v>
      </c>
      <c r="BE67" s="19">
        <f t="shared" ref="BE67:BH67" si="170">BE58</f>
        <v>125</v>
      </c>
      <c r="BF67" s="19">
        <f t="shared" si="170"/>
        <v>25</v>
      </c>
      <c r="BG67" s="19">
        <f t="shared" si="170"/>
        <v>5</v>
      </c>
      <c r="BH67" s="78">
        <f t="shared" si="170"/>
        <v>1</v>
      </c>
      <c r="BJ67" s="19">
        <v>11</v>
      </c>
      <c r="BK67" s="77">
        <f t="shared" si="125"/>
        <v>4.2000000000000011</v>
      </c>
      <c r="BL67" s="78">
        <f t="shared" si="106"/>
        <v>8.5612389522450485</v>
      </c>
    </row>
    <row r="68" spans="1:64">
      <c r="A68" s="19">
        <v>5</v>
      </c>
      <c r="B68" s="77">
        <f t="shared" si="146"/>
        <v>4.6772761567521089E-2</v>
      </c>
      <c r="C68" s="19">
        <f t="shared" si="147"/>
        <v>7.7922135056261707E-2</v>
      </c>
      <c r="D68" s="93">
        <f t="shared" si="161"/>
        <v>6</v>
      </c>
      <c r="E68" s="19">
        <f t="shared" ref="E68:H68" si="171">E59</f>
        <v>0.21627011251562495</v>
      </c>
      <c r="F68" s="19">
        <f t="shared" si="171"/>
        <v>0.36030006249999996</v>
      </c>
      <c r="G68" s="19">
        <f t="shared" si="171"/>
        <v>0.60024999999999995</v>
      </c>
      <c r="H68" s="78">
        <f t="shared" si="171"/>
        <v>1</v>
      </c>
      <c r="J68" s="19">
        <v>12</v>
      </c>
      <c r="K68" s="77">
        <f t="shared" si="116"/>
        <v>0.45897319999999986</v>
      </c>
      <c r="L68" s="78">
        <f t="shared" si="108"/>
        <v>4.4266335849622749</v>
      </c>
      <c r="N68" s="19">
        <v>5</v>
      </c>
      <c r="O68" s="77">
        <f t="shared" si="149"/>
        <v>46656</v>
      </c>
      <c r="P68" s="19">
        <f t="shared" si="150"/>
        <v>7776</v>
      </c>
      <c r="Q68" s="93">
        <f t="shared" si="163"/>
        <v>323.72321416934517</v>
      </c>
      <c r="R68" s="19">
        <f t="shared" ref="R68:U68" si="172">R59</f>
        <v>216</v>
      </c>
      <c r="S68" s="19">
        <f t="shared" si="172"/>
        <v>36</v>
      </c>
      <c r="T68" s="19">
        <f t="shared" si="172"/>
        <v>6</v>
      </c>
      <c r="U68" s="78">
        <f t="shared" si="172"/>
        <v>1</v>
      </c>
      <c r="W68" s="19">
        <v>12</v>
      </c>
      <c r="X68" s="77">
        <f t="shared" si="118"/>
        <v>4.3200000000000012</v>
      </c>
      <c r="Y68" s="78">
        <f t="shared" si="110"/>
        <v>426.28768228524677</v>
      </c>
      <c r="AA68" s="19">
        <v>5</v>
      </c>
      <c r="AB68" s="77">
        <f t="shared" si="152"/>
        <v>4.6772761567521089E-2</v>
      </c>
      <c r="AC68" s="19">
        <f t="shared" si="153"/>
        <v>7.7922135056261707E-2</v>
      </c>
      <c r="AD68" s="93">
        <f t="shared" si="165"/>
        <v>30.855377000000001</v>
      </c>
      <c r="AE68" s="19">
        <f t="shared" ref="AE68:AH68" si="173">AE59</f>
        <v>0.21627011251562495</v>
      </c>
      <c r="AF68" s="19">
        <f t="shared" si="173"/>
        <v>0.36030006249999996</v>
      </c>
      <c r="AG68" s="19">
        <f t="shared" si="173"/>
        <v>0.60024999999999995</v>
      </c>
      <c r="AH68" s="78">
        <f t="shared" si="173"/>
        <v>1</v>
      </c>
      <c r="AJ68" s="19">
        <v>12</v>
      </c>
      <c r="AK68" s="77">
        <f t="shared" si="120"/>
        <v>0.45897319999999986</v>
      </c>
      <c r="AL68" s="78">
        <f t="shared" si="112"/>
        <v>49.297068335776203</v>
      </c>
      <c r="AN68" s="19">
        <v>5</v>
      </c>
      <c r="AO68" s="77">
        <f t="shared" si="155"/>
        <v>862949025.63956308</v>
      </c>
      <c r="AP68" s="19">
        <f t="shared" si="156"/>
        <v>27967541.140060067</v>
      </c>
      <c r="AQ68" s="93">
        <f t="shared" si="167"/>
        <v>0.60024999999999995</v>
      </c>
      <c r="AR68" s="19">
        <f t="shared" ref="AR68:AU68" si="174">AR59</f>
        <v>29375.994036620501</v>
      </c>
      <c r="AS68" s="19">
        <f t="shared" si="174"/>
        <v>952.05428981212901</v>
      </c>
      <c r="AT68" s="19">
        <f t="shared" si="174"/>
        <v>30.855377000000001</v>
      </c>
      <c r="AU68" s="78">
        <f t="shared" si="174"/>
        <v>1</v>
      </c>
      <c r="AW68" s="19">
        <v>12</v>
      </c>
      <c r="AX68" s="77">
        <f t="shared" si="122"/>
        <v>26.247674000000004</v>
      </c>
      <c r="AY68" s="78">
        <f t="shared" si="102"/>
        <v>0.68352521250753973</v>
      </c>
      <c r="AZ68" s="19">
        <f t="shared" si="123"/>
        <v>-2.1386927014352963E-2</v>
      </c>
      <c r="BA68" s="19">
        <v>5</v>
      </c>
      <c r="BB68" s="77">
        <f t="shared" si="158"/>
        <v>46656</v>
      </c>
      <c r="BC68" s="19">
        <f t="shared" si="159"/>
        <v>7776</v>
      </c>
      <c r="BD68" s="93">
        <f t="shared" si="169"/>
        <v>10.491630491805211</v>
      </c>
      <c r="BE68" s="19">
        <f t="shared" ref="BE68:BH68" si="175">BE59</f>
        <v>216</v>
      </c>
      <c r="BF68" s="19">
        <f t="shared" si="175"/>
        <v>36</v>
      </c>
      <c r="BG68" s="19">
        <f t="shared" si="175"/>
        <v>6</v>
      </c>
      <c r="BH68" s="78">
        <f t="shared" si="175"/>
        <v>1</v>
      </c>
      <c r="BJ68" s="19">
        <v>12</v>
      </c>
      <c r="BK68" s="77">
        <f t="shared" si="125"/>
        <v>4.3200000000000012</v>
      </c>
      <c r="BL68" s="78">
        <f t="shared" si="106"/>
        <v>8.3335029575712269</v>
      </c>
    </row>
    <row r="69" spans="1:64">
      <c r="A69" s="19">
        <v>6</v>
      </c>
      <c r="B69" s="77">
        <f t="shared" si="146"/>
        <v>0.10244458085321199</v>
      </c>
      <c r="C69" s="19">
        <f t="shared" si="147"/>
        <v>0.14976402089528679</v>
      </c>
      <c r="D69" s="93">
        <f t="shared" si="161"/>
        <v>7</v>
      </c>
      <c r="E69" s="19">
        <f t="shared" ref="E69:H69" si="176">E60</f>
        <v>0.32006965000326415</v>
      </c>
      <c r="F69" s="19">
        <f t="shared" si="176"/>
        <v>0.46791072160000013</v>
      </c>
      <c r="G69" s="19">
        <f t="shared" si="176"/>
        <v>0.68404000000000009</v>
      </c>
      <c r="H69" s="78">
        <f t="shared" si="176"/>
        <v>1</v>
      </c>
      <c r="J69" s="19">
        <v>13</v>
      </c>
      <c r="K69" s="77">
        <f t="shared" si="116"/>
        <v>0.46969439999999985</v>
      </c>
      <c r="L69" s="78">
        <f t="shared" si="108"/>
        <v>4.567883257188015</v>
      </c>
      <c r="N69" s="19">
        <v>6</v>
      </c>
      <c r="O69" s="77">
        <f t="shared" si="149"/>
        <v>117649</v>
      </c>
      <c r="P69" s="19">
        <f t="shared" si="150"/>
        <v>16807</v>
      </c>
      <c r="Q69" s="93">
        <f t="shared" si="163"/>
        <v>283.32174408346413</v>
      </c>
      <c r="R69" s="19">
        <f t="shared" ref="R69:U69" si="177">R60</f>
        <v>343</v>
      </c>
      <c r="S69" s="19">
        <f t="shared" si="177"/>
        <v>49</v>
      </c>
      <c r="T69" s="19">
        <f t="shared" si="177"/>
        <v>7</v>
      </c>
      <c r="U69" s="78">
        <f t="shared" si="177"/>
        <v>1</v>
      </c>
      <c r="W69" s="19">
        <v>13</v>
      </c>
      <c r="X69" s="77">
        <f t="shared" si="118"/>
        <v>4.4400000000000013</v>
      </c>
      <c r="Y69" s="78">
        <f t="shared" si="110"/>
        <v>416.98137257646431</v>
      </c>
      <c r="AA69" s="19">
        <v>6</v>
      </c>
      <c r="AB69" s="77">
        <f t="shared" si="152"/>
        <v>0.10244458085321199</v>
      </c>
      <c r="AC69" s="19">
        <f t="shared" si="153"/>
        <v>0.14976402089528679</v>
      </c>
      <c r="AD69" s="93">
        <f t="shared" si="165"/>
        <v>26.2227</v>
      </c>
      <c r="AE69" s="19">
        <f t="shared" ref="AE69:AH69" si="178">AE60</f>
        <v>0.32006965000326415</v>
      </c>
      <c r="AF69" s="19">
        <f t="shared" si="178"/>
        <v>0.46791072160000013</v>
      </c>
      <c r="AG69" s="19">
        <f t="shared" si="178"/>
        <v>0.68404000000000009</v>
      </c>
      <c r="AH69" s="78">
        <f t="shared" si="178"/>
        <v>1</v>
      </c>
      <c r="AJ69" s="19">
        <v>13</v>
      </c>
      <c r="AK69" s="77">
        <f t="shared" si="120"/>
        <v>0.46969439999999985</v>
      </c>
      <c r="AL69" s="78">
        <f t="shared" si="112"/>
        <v>48.68252182188553</v>
      </c>
      <c r="AN69" s="19">
        <v>6</v>
      </c>
      <c r="AO69" s="77">
        <f t="shared" si="155"/>
        <v>325135535.98978829</v>
      </c>
      <c r="AP69" s="19">
        <f t="shared" si="156"/>
        <v>12399010.627806759</v>
      </c>
      <c r="AQ69" s="93">
        <f t="shared" si="167"/>
        <v>0.68404000000000009</v>
      </c>
      <c r="AR69" s="19">
        <f t="shared" ref="AR69:AU69" si="179">AR60</f>
        <v>18031.515077491084</v>
      </c>
      <c r="AS69" s="19">
        <f t="shared" si="179"/>
        <v>687.62999529000001</v>
      </c>
      <c r="AT69" s="19">
        <f t="shared" si="179"/>
        <v>26.2227</v>
      </c>
      <c r="AU69" s="78">
        <f t="shared" si="179"/>
        <v>1</v>
      </c>
      <c r="AW69" s="19">
        <v>13</v>
      </c>
      <c r="AX69" s="77">
        <f t="shared" si="122"/>
        <v>27.271608000000004</v>
      </c>
      <c r="AY69" s="78">
        <f t="shared" si="102"/>
        <v>0.6628338443473536</v>
      </c>
      <c r="AZ69" s="19">
        <f t="shared" si="123"/>
        <v>-2.069136816018613E-2</v>
      </c>
      <c r="BA69" s="19">
        <v>6</v>
      </c>
      <c r="BB69" s="77">
        <f t="shared" si="158"/>
        <v>117649</v>
      </c>
      <c r="BC69" s="19">
        <f t="shared" si="159"/>
        <v>16807</v>
      </c>
      <c r="BD69" s="93">
        <f t="shared" si="169"/>
        <v>10.804445922176745</v>
      </c>
      <c r="BE69" s="19">
        <f t="shared" ref="BE69:BH69" si="180">BE60</f>
        <v>343</v>
      </c>
      <c r="BF69" s="19">
        <f t="shared" si="180"/>
        <v>49</v>
      </c>
      <c r="BG69" s="19">
        <f t="shared" si="180"/>
        <v>7</v>
      </c>
      <c r="BH69" s="78">
        <f t="shared" si="180"/>
        <v>1</v>
      </c>
      <c r="BJ69" s="19">
        <v>13</v>
      </c>
      <c r="BK69" s="77">
        <f t="shared" si="125"/>
        <v>4.4400000000000013</v>
      </c>
      <c r="BL69" s="78">
        <f t="shared" si="106"/>
        <v>8.1783994084473761</v>
      </c>
    </row>
    <row r="70" spans="1:64">
      <c r="A70" s="19">
        <v>7</v>
      </c>
      <c r="B70" s="77">
        <f t="shared" si="146"/>
        <v>0.2112807009001775</v>
      </c>
      <c r="C70" s="19">
        <f t="shared" si="147"/>
        <v>0.27376831992248463</v>
      </c>
      <c r="D70" s="93">
        <f t="shared" si="161"/>
        <v>8</v>
      </c>
      <c r="E70" s="19">
        <f t="shared" ref="E70:H70" si="181">E61</f>
        <v>0.45965280473437503</v>
      </c>
      <c r="F70" s="19">
        <f t="shared" si="181"/>
        <v>0.59559806250000003</v>
      </c>
      <c r="G70" s="19">
        <f t="shared" si="181"/>
        <v>0.77175000000000005</v>
      </c>
      <c r="H70" s="78">
        <f t="shared" si="181"/>
        <v>1</v>
      </c>
      <c r="J70" s="19">
        <v>14</v>
      </c>
      <c r="K70" s="77">
        <f t="shared" si="116"/>
        <v>0.48041559999999983</v>
      </c>
      <c r="L70" s="78">
        <f t="shared" si="108"/>
        <v>4.7031711316790563</v>
      </c>
      <c r="N70" s="19">
        <v>7</v>
      </c>
      <c r="O70" s="77">
        <f t="shared" si="149"/>
        <v>262144</v>
      </c>
      <c r="P70" s="19">
        <f t="shared" si="150"/>
        <v>32768</v>
      </c>
      <c r="Q70" s="93">
        <f t="shared" si="163"/>
        <v>251.7847221317129</v>
      </c>
      <c r="R70" s="19">
        <f t="shared" ref="R70:U70" si="182">R61</f>
        <v>512</v>
      </c>
      <c r="S70" s="19">
        <f t="shared" si="182"/>
        <v>64</v>
      </c>
      <c r="T70" s="19">
        <f t="shared" si="182"/>
        <v>8</v>
      </c>
      <c r="U70" s="78">
        <f t="shared" si="182"/>
        <v>1</v>
      </c>
      <c r="W70" s="19">
        <v>14</v>
      </c>
      <c r="X70" s="77">
        <f t="shared" si="118"/>
        <v>4.5600000000000014</v>
      </c>
      <c r="Y70" s="78">
        <f t="shared" si="110"/>
        <v>408.0553299436242</v>
      </c>
      <c r="AA70" s="19">
        <v>7</v>
      </c>
      <c r="AB70" s="77">
        <f t="shared" si="152"/>
        <v>0.2112807009001775</v>
      </c>
      <c r="AC70" s="19">
        <f t="shared" si="153"/>
        <v>0.27376831992248463</v>
      </c>
      <c r="AD70" s="93">
        <f t="shared" si="165"/>
        <v>22.039554999999996</v>
      </c>
      <c r="AE70" s="19">
        <f t="shared" ref="AE70:AH70" si="183">AE61</f>
        <v>0.45965280473437503</v>
      </c>
      <c r="AF70" s="19">
        <f t="shared" si="183"/>
        <v>0.59559806250000003</v>
      </c>
      <c r="AG70" s="19">
        <f t="shared" si="183"/>
        <v>0.77175000000000005</v>
      </c>
      <c r="AH70" s="78">
        <f t="shared" si="183"/>
        <v>1</v>
      </c>
      <c r="AJ70" s="19">
        <v>14</v>
      </c>
      <c r="AK70" s="77">
        <f t="shared" si="120"/>
        <v>0.48041559999999983</v>
      </c>
      <c r="AL70" s="78">
        <f t="shared" si="112"/>
        <v>47.831004869605749</v>
      </c>
      <c r="AN70" s="19">
        <v>7</v>
      </c>
      <c r="AO70" s="77">
        <f t="shared" si="155"/>
        <v>114608526.42706832</v>
      </c>
      <c r="AP70" s="19">
        <f t="shared" si="156"/>
        <v>5200128.8786034174</v>
      </c>
      <c r="AQ70" s="93">
        <f t="shared" si="167"/>
        <v>0.77175000000000005</v>
      </c>
      <c r="AR70" s="19">
        <f t="shared" ref="AR70:AU70" si="184">AR61</f>
        <v>10705.53718535732</v>
      </c>
      <c r="AS70" s="19">
        <f t="shared" si="184"/>
        <v>485.74198459802483</v>
      </c>
      <c r="AT70" s="19">
        <f t="shared" si="184"/>
        <v>22.039554999999996</v>
      </c>
      <c r="AU70" s="78">
        <f t="shared" si="184"/>
        <v>1</v>
      </c>
      <c r="AW70" s="19">
        <v>14</v>
      </c>
      <c r="AX70" s="77">
        <f t="shared" si="122"/>
        <v>28.295542000000005</v>
      </c>
      <c r="AY70" s="78">
        <f t="shared" si="102"/>
        <v>0.643170057745859</v>
      </c>
      <c r="AZ70" s="19">
        <f t="shared" si="123"/>
        <v>-1.9663786601494593E-2</v>
      </c>
      <c r="BA70" s="19">
        <v>7</v>
      </c>
      <c r="BB70" s="77">
        <f t="shared" si="158"/>
        <v>262144</v>
      </c>
      <c r="BC70" s="19">
        <f t="shared" si="159"/>
        <v>32768</v>
      </c>
      <c r="BD70" s="93">
        <f t="shared" si="169"/>
        <v>11.424219868854564</v>
      </c>
      <c r="BE70" s="19">
        <f t="shared" ref="BE70:BH70" si="185">BE61</f>
        <v>512</v>
      </c>
      <c r="BF70" s="19">
        <f t="shared" si="185"/>
        <v>64</v>
      </c>
      <c r="BG70" s="19">
        <f t="shared" si="185"/>
        <v>8</v>
      </c>
      <c r="BH70" s="78">
        <f t="shared" si="185"/>
        <v>1</v>
      </c>
      <c r="BJ70" s="19">
        <v>14</v>
      </c>
      <c r="BK70" s="77">
        <f t="shared" si="125"/>
        <v>4.5600000000000014</v>
      </c>
      <c r="BL70" s="78">
        <f t="shared" si="106"/>
        <v>8.0997104769451198</v>
      </c>
    </row>
    <row r="71" spans="1:64">
      <c r="A71" s="19">
        <v>8</v>
      </c>
      <c r="B71" s="79">
        <f t="shared" si="146"/>
        <v>0.45529687141342695</v>
      </c>
      <c r="C71" s="80">
        <f t="shared" si="147"/>
        <v>0.51909345731778245</v>
      </c>
      <c r="D71" s="86">
        <f t="shared" si="161"/>
        <v>9</v>
      </c>
      <c r="E71" s="80">
        <f t="shared" ref="E71:H71" si="186">E62</f>
        <v>0.67475689801099992</v>
      </c>
      <c r="F71" s="80">
        <f t="shared" si="186"/>
        <v>0.76930440999999994</v>
      </c>
      <c r="G71" s="80">
        <f t="shared" si="186"/>
        <v>0.87709999999999999</v>
      </c>
      <c r="H71" s="81">
        <f t="shared" si="186"/>
        <v>1</v>
      </c>
      <c r="J71" s="19">
        <v>15</v>
      </c>
      <c r="K71" s="77">
        <f t="shared" si="116"/>
        <v>0.49113679999999982</v>
      </c>
      <c r="L71" s="78">
        <f t="shared" si="108"/>
        <v>4.8326759320337089</v>
      </c>
      <c r="N71" s="19">
        <v>8</v>
      </c>
      <c r="O71" s="79">
        <f t="shared" si="149"/>
        <v>531441</v>
      </c>
      <c r="P71" s="80">
        <f t="shared" si="150"/>
        <v>59049</v>
      </c>
      <c r="Q71" s="86">
        <f t="shared" si="163"/>
        <v>226.19791658535507</v>
      </c>
      <c r="R71" s="80">
        <f t="shared" ref="R71:U71" si="187">R62</f>
        <v>729</v>
      </c>
      <c r="S71" s="80">
        <f t="shared" si="187"/>
        <v>81</v>
      </c>
      <c r="T71" s="80">
        <f t="shared" si="187"/>
        <v>9</v>
      </c>
      <c r="U71" s="81">
        <f t="shared" si="187"/>
        <v>1</v>
      </c>
      <c r="W71" s="19">
        <v>15</v>
      </c>
      <c r="X71" s="77">
        <f t="shared" si="118"/>
        <v>4.6800000000000015</v>
      </c>
      <c r="Y71" s="78">
        <f t="shared" si="110"/>
        <v>399.48303916994701</v>
      </c>
      <c r="AA71" s="19">
        <v>8</v>
      </c>
      <c r="AB71" s="79">
        <f t="shared" si="152"/>
        <v>0.45529687141342695</v>
      </c>
      <c r="AC71" s="80">
        <f t="shared" si="153"/>
        <v>0.51909345731778245</v>
      </c>
      <c r="AD71" s="86">
        <f t="shared" si="165"/>
        <v>14.984399999999999</v>
      </c>
      <c r="AE71" s="80">
        <f t="shared" ref="AE71:AH71" si="188">AE62</f>
        <v>0.67475689801099992</v>
      </c>
      <c r="AF71" s="80">
        <f t="shared" si="188"/>
        <v>0.76930440999999994</v>
      </c>
      <c r="AG71" s="80">
        <f t="shared" si="188"/>
        <v>0.87709999999999999</v>
      </c>
      <c r="AH71" s="81">
        <f t="shared" si="188"/>
        <v>1</v>
      </c>
      <c r="AJ71" s="19">
        <v>15</v>
      </c>
      <c r="AK71" s="77">
        <f t="shared" si="120"/>
        <v>0.49113679999999982</v>
      </c>
      <c r="AL71" s="78">
        <f t="shared" si="112"/>
        <v>46.749135632459001</v>
      </c>
      <c r="AN71" s="19">
        <v>8</v>
      </c>
      <c r="AO71" s="79">
        <f t="shared" si="155"/>
        <v>11319732.045441713</v>
      </c>
      <c r="AP71" s="80">
        <f t="shared" si="156"/>
        <v>755434.45486250462</v>
      </c>
      <c r="AQ71" s="86">
        <f t="shared" si="167"/>
        <v>0.87709999999999999</v>
      </c>
      <c r="AR71" s="80">
        <f t="shared" ref="AR71:AU71" si="189">AR62</f>
        <v>3364.4809474035833</v>
      </c>
      <c r="AS71" s="80">
        <f t="shared" si="189"/>
        <v>224.53224335999997</v>
      </c>
      <c r="AT71" s="80">
        <f t="shared" si="189"/>
        <v>14.984399999999999</v>
      </c>
      <c r="AU71" s="81">
        <f t="shared" si="189"/>
        <v>1</v>
      </c>
      <c r="AW71" s="19">
        <v>15</v>
      </c>
      <c r="AX71" s="77">
        <f t="shared" si="122"/>
        <v>29.319476000000005</v>
      </c>
      <c r="AY71" s="78">
        <f t="shared" si="102"/>
        <v>0.62482019517850929</v>
      </c>
      <c r="AZ71" s="19">
        <f t="shared" si="123"/>
        <v>-1.8349862567349717E-2</v>
      </c>
      <c r="BA71" s="19">
        <v>8</v>
      </c>
      <c r="BB71" s="79">
        <f t="shared" si="158"/>
        <v>531441</v>
      </c>
      <c r="BC71" s="80">
        <f t="shared" si="159"/>
        <v>59049</v>
      </c>
      <c r="BD71" s="86">
        <f t="shared" si="169"/>
        <v>15.095560488598482</v>
      </c>
      <c r="BE71" s="80">
        <f t="shared" ref="BE71:BH71" si="190">BE62</f>
        <v>729</v>
      </c>
      <c r="BF71" s="80">
        <f t="shared" si="190"/>
        <v>81</v>
      </c>
      <c r="BG71" s="80">
        <f t="shared" si="190"/>
        <v>9</v>
      </c>
      <c r="BH71" s="81">
        <f t="shared" si="190"/>
        <v>1</v>
      </c>
      <c r="BJ71" s="19">
        <v>15</v>
      </c>
      <c r="BK71" s="77">
        <f t="shared" si="125"/>
        <v>4.6800000000000015</v>
      </c>
      <c r="BL71" s="78">
        <f t="shared" si="106"/>
        <v>8.0965512378891162</v>
      </c>
    </row>
    <row r="72" spans="1:64">
      <c r="J72" s="19">
        <v>16</v>
      </c>
      <c r="K72" s="77">
        <f t="shared" si="116"/>
        <v>0.5018579999999998</v>
      </c>
      <c r="L72" s="78">
        <f t="shared" si="108"/>
        <v>4.9568771858908178</v>
      </c>
      <c r="W72" s="19">
        <v>16</v>
      </c>
      <c r="X72" s="77">
        <f t="shared" si="118"/>
        <v>4.8000000000000016</v>
      </c>
      <c r="Y72" s="78">
        <f t="shared" si="110"/>
        <v>391.24165021961744</v>
      </c>
      <c r="AJ72" s="19">
        <v>16</v>
      </c>
      <c r="AK72" s="77">
        <f t="shared" si="120"/>
        <v>0.5018579999999998</v>
      </c>
      <c r="AL72" s="78">
        <f t="shared" si="112"/>
        <v>45.458135266102545</v>
      </c>
      <c r="AW72" s="19">
        <v>16</v>
      </c>
      <c r="AX72" s="77">
        <f t="shared" si="122"/>
        <v>30.343410000000006</v>
      </c>
      <c r="AY72" s="78">
        <f t="shared" si="102"/>
        <v>0.60801629320223483</v>
      </c>
      <c r="AZ72" s="19">
        <f t="shared" si="123"/>
        <v>-1.680390197627446E-2</v>
      </c>
      <c r="BJ72" s="19">
        <v>16</v>
      </c>
      <c r="BK72" s="77">
        <f t="shared" si="125"/>
        <v>4.8000000000000016</v>
      </c>
      <c r="BL72" s="78">
        <f t="shared" si="106"/>
        <v>8.1642627974372317</v>
      </c>
    </row>
    <row r="73" spans="1:64">
      <c r="A73" s="19" t="s">
        <v>110</v>
      </c>
      <c r="B73" s="19">
        <v>6</v>
      </c>
      <c r="C73" s="19">
        <v>5</v>
      </c>
      <c r="D73" s="19">
        <v>4</v>
      </c>
      <c r="E73" s="19">
        <v>3</v>
      </c>
      <c r="F73" s="19">
        <v>2</v>
      </c>
      <c r="G73" s="19">
        <v>1</v>
      </c>
      <c r="H73" s="19">
        <v>0</v>
      </c>
      <c r="J73" s="19">
        <v>17</v>
      </c>
      <c r="K73" s="77">
        <f t="shared" si="116"/>
        <v>0.51257919999999979</v>
      </c>
      <c r="L73" s="78">
        <f t="shared" si="108"/>
        <v>5.0764812264433488</v>
      </c>
      <c r="N73" s="19" t="s">
        <v>110</v>
      </c>
      <c r="O73" s="19">
        <v>6</v>
      </c>
      <c r="P73" s="19">
        <v>5</v>
      </c>
      <c r="Q73" s="19">
        <v>4</v>
      </c>
      <c r="R73" s="19">
        <v>3</v>
      </c>
      <c r="S73" s="19">
        <v>2</v>
      </c>
      <c r="T73" s="19">
        <v>1</v>
      </c>
      <c r="U73" s="19">
        <v>0</v>
      </c>
      <c r="W73" s="19">
        <v>17</v>
      </c>
      <c r="X73" s="77">
        <f t="shared" si="118"/>
        <v>4.9200000000000017</v>
      </c>
      <c r="Y73" s="78">
        <f t="shared" si="110"/>
        <v>383.31147971902374</v>
      </c>
      <c r="AA73" s="19" t="s">
        <v>110</v>
      </c>
      <c r="AB73" s="19">
        <v>6</v>
      </c>
      <c r="AC73" s="19">
        <v>5</v>
      </c>
      <c r="AD73" s="19">
        <v>4</v>
      </c>
      <c r="AE73" s="19">
        <v>3</v>
      </c>
      <c r="AF73" s="19">
        <v>2</v>
      </c>
      <c r="AG73" s="19">
        <v>1</v>
      </c>
      <c r="AH73" s="19">
        <v>0</v>
      </c>
      <c r="AJ73" s="19">
        <v>17</v>
      </c>
      <c r="AK73" s="77">
        <f t="shared" si="120"/>
        <v>0.51257919999999979</v>
      </c>
      <c r="AL73" s="78">
        <f t="shared" si="112"/>
        <v>43.990265978971365</v>
      </c>
      <c r="AN73" s="19" t="s">
        <v>110</v>
      </c>
      <c r="AO73" s="19">
        <v>6</v>
      </c>
      <c r="AP73" s="19">
        <v>5</v>
      </c>
      <c r="AQ73" s="19">
        <v>4</v>
      </c>
      <c r="AR73" s="19">
        <v>3</v>
      </c>
      <c r="AS73" s="19">
        <v>2</v>
      </c>
      <c r="AT73" s="19">
        <v>1</v>
      </c>
      <c r="AU73" s="19">
        <v>0</v>
      </c>
      <c r="AW73" s="19">
        <v>17</v>
      </c>
      <c r="AX73" s="77">
        <f t="shared" si="122"/>
        <v>31.367344000000006</v>
      </c>
      <c r="AY73" s="78">
        <f t="shared" si="102"/>
        <v>0.59292915518395417</v>
      </c>
      <c r="AZ73" s="19">
        <f t="shared" si="123"/>
        <v>-1.5087138018280655E-2</v>
      </c>
      <c r="BA73" s="19" t="s">
        <v>110</v>
      </c>
      <c r="BB73" s="19">
        <v>6</v>
      </c>
      <c r="BC73" s="19">
        <v>5</v>
      </c>
      <c r="BD73" s="19">
        <v>4</v>
      </c>
      <c r="BE73" s="19">
        <v>3</v>
      </c>
      <c r="BF73" s="19">
        <v>2</v>
      </c>
      <c r="BG73" s="19">
        <v>1</v>
      </c>
      <c r="BH73" s="19">
        <v>0</v>
      </c>
      <c r="BJ73" s="19">
        <v>17</v>
      </c>
      <c r="BK73" s="77">
        <f t="shared" si="125"/>
        <v>4.9200000000000017</v>
      </c>
      <c r="BL73" s="78">
        <f t="shared" si="106"/>
        <v>8.2952430158559309</v>
      </c>
    </row>
    <row r="74" spans="1:64">
      <c r="A74" s="19">
        <v>2</v>
      </c>
      <c r="B74" s="74">
        <f>B65</f>
        <v>1.5733738139927513E-3</v>
      </c>
      <c r="C74" s="75">
        <f>C65</f>
        <v>4.6134582863967613E-3</v>
      </c>
      <c r="D74" s="75">
        <f>D56</f>
        <v>1.35276163687449E-2</v>
      </c>
      <c r="E74" s="85">
        <f>D65</f>
        <v>3</v>
      </c>
      <c r="F74" s="75">
        <f>F65</f>
        <v>0.11630828160000001</v>
      </c>
      <c r="G74" s="75">
        <f t="shared" ref="G74:H74" si="191">G65</f>
        <v>0.34104000000000001</v>
      </c>
      <c r="H74" s="76">
        <f t="shared" si="191"/>
        <v>1</v>
      </c>
      <c r="I74" s="19">
        <f>IF($B$4=7,MDETERM(B74:H80),IF($B$4=6,MDETERM(C74:H79),IF($B$4=5,MDETERM(D74:H78),IF($B$4=4,MDETERM(E74:H77),IF($B$4=3,MDETERM(F74:H76),"ERRO")))))</f>
        <v>4.446867183525894E-11</v>
      </c>
      <c r="J74" s="19">
        <v>18</v>
      </c>
      <c r="K74" s="77">
        <f t="shared" si="116"/>
        <v>0.52330039999999978</v>
      </c>
      <c r="L74" s="78">
        <f t="shared" si="108"/>
        <v>5.1923532359267313</v>
      </c>
      <c r="N74" s="19">
        <v>2</v>
      </c>
      <c r="O74" s="74">
        <f>O65</f>
        <v>729</v>
      </c>
      <c r="P74" s="75">
        <f>P65</f>
        <v>243</v>
      </c>
      <c r="Q74" s="75">
        <f>Q56</f>
        <v>81</v>
      </c>
      <c r="R74" s="85">
        <f>Q65</f>
        <v>566.77140926841628</v>
      </c>
      <c r="S74" s="75">
        <f>S65</f>
        <v>9</v>
      </c>
      <c r="T74" s="75">
        <f t="shared" ref="T74:U74" si="192">T65</f>
        <v>3</v>
      </c>
      <c r="U74" s="76">
        <f t="shared" si="192"/>
        <v>1</v>
      </c>
      <c r="V74" s="19">
        <f>IF($B$4=7,MDETERM(O74:U80),IF($B$4=6,MDETERM(P74:U79),IF($B$4=5,MDETERM(Q74:U78),IF($B$4=4,MDETERM(R74:U77),IF($B$4=3,MDETERM(S74:U76),"ERRO")))))</f>
        <v>2018478696.7227032</v>
      </c>
      <c r="W74" s="19">
        <v>18</v>
      </c>
      <c r="X74" s="77">
        <f t="shared" si="118"/>
        <v>5.0400000000000018</v>
      </c>
      <c r="Y74" s="78">
        <f t="shared" si="110"/>
        <v>375.67554583501988</v>
      </c>
      <c r="AA74" s="19">
        <v>2</v>
      </c>
      <c r="AB74" s="74">
        <f>AB65</f>
        <v>1.5733738139927513E-3</v>
      </c>
      <c r="AC74" s="75">
        <f>AC65</f>
        <v>4.6134582863967613E-3</v>
      </c>
      <c r="AD74" s="75">
        <f>AD56</f>
        <v>1.35276163687449E-2</v>
      </c>
      <c r="AE74" s="85">
        <f>AD65</f>
        <v>66.181100000000001</v>
      </c>
      <c r="AF74" s="75">
        <f>AF65</f>
        <v>0.11630828160000001</v>
      </c>
      <c r="AG74" s="75">
        <f t="shared" ref="AG74:AH74" si="193">AG65</f>
        <v>0.34104000000000001</v>
      </c>
      <c r="AH74" s="76">
        <f t="shared" si="193"/>
        <v>1</v>
      </c>
      <c r="AI74" s="19">
        <f>IF($B$4=7,MDETERM(AB74:AH80),IF($B$4=6,MDETERM(AC74:AH79),IF($B$4=5,MDETERM(AD74:AH78),IF($B$4=4,MDETERM(AE74:AH77),IF($B$4=3,MDETERM(AF74:AH76),"ERRO")))))</f>
        <v>2.1488772713257383E-9</v>
      </c>
      <c r="AJ74" s="19">
        <v>18</v>
      </c>
      <c r="AK74" s="77">
        <f t="shared" si="120"/>
        <v>0.52330039999999978</v>
      </c>
      <c r="AL74" s="78">
        <f t="shared" si="112"/>
        <v>42.385561630084339</v>
      </c>
      <c r="AN74" s="19">
        <v>2</v>
      </c>
      <c r="AO74" s="74">
        <f>AO65</f>
        <v>84024103591.541061</v>
      </c>
      <c r="AP74" s="75">
        <f>AP65</f>
        <v>1269608749.1978986</v>
      </c>
      <c r="AQ74" s="75">
        <f>AQ56</f>
        <v>19183856.859403949</v>
      </c>
      <c r="AR74" s="85">
        <f>AQ65</f>
        <v>0.34104000000000001</v>
      </c>
      <c r="AS74" s="75">
        <f>AS65</f>
        <v>4379.9379972100005</v>
      </c>
      <c r="AT74" s="75">
        <f t="shared" ref="AT74:AU74" si="194">AT65</f>
        <v>66.181100000000001</v>
      </c>
      <c r="AU74" s="76">
        <f t="shared" si="194"/>
        <v>1</v>
      </c>
      <c r="AV74" s="19">
        <f>IF($B$4=7,MDETERM(AO74:AU80),IF($B$4=6,MDETERM(AP74:AU79),IF($B$4=5,MDETERM(AQ74:AU78),IF($B$4=4,MDETERM(AR74:AU77),IF($B$4=3,MDETERM(AS74:AU76),"ERRO")))))</f>
        <v>-1.0535591854938051E+23</v>
      </c>
      <c r="AW74" s="19">
        <v>18</v>
      </c>
      <c r="AX74" s="77">
        <f t="shared" si="122"/>
        <v>32.391278000000007</v>
      </c>
      <c r="AY74" s="78">
        <f t="shared" si="102"/>
        <v>0.57966312244702478</v>
      </c>
      <c r="AZ74" s="19">
        <f t="shared" si="123"/>
        <v>-1.326603273692939E-2</v>
      </c>
      <c r="BA74" s="19">
        <v>2</v>
      </c>
      <c r="BB74" s="74">
        <f>BB65</f>
        <v>729</v>
      </c>
      <c r="BC74" s="75">
        <f>BC65</f>
        <v>243</v>
      </c>
      <c r="BD74" s="75">
        <f>BD56</f>
        <v>81</v>
      </c>
      <c r="BE74" s="85">
        <f>BD65</f>
        <v>8.5639466444108105</v>
      </c>
      <c r="BF74" s="75">
        <f>BF65</f>
        <v>9</v>
      </c>
      <c r="BG74" s="75">
        <f t="shared" ref="BG74:BH74" si="195">BG65</f>
        <v>3</v>
      </c>
      <c r="BH74" s="76">
        <f t="shared" si="195"/>
        <v>1</v>
      </c>
      <c r="BI74" s="19">
        <f>IF($B$4=7,MDETERM(BB74:BH80),IF($B$4=6,MDETERM(BC74:BH79),IF($B$4=5,MDETERM(BD74:BH78),IF($B$4=4,MDETERM(BE74:BH77),IF($B$4=3,MDETERM(BF74:BH76),"ERRO")))))</f>
        <v>-3199344642.550283</v>
      </c>
      <c r="BJ74" s="19">
        <v>18</v>
      </c>
      <c r="BK74" s="77">
        <f t="shared" si="125"/>
        <v>5.0400000000000018</v>
      </c>
      <c r="BL74" s="78">
        <f t="shared" si="106"/>
        <v>8.4797148245218068</v>
      </c>
    </row>
    <row r="75" spans="1:64">
      <c r="A75" s="19">
        <v>3</v>
      </c>
      <c r="B75" s="77">
        <f t="shared" ref="B75:C75" si="196">B66</f>
        <v>6.2119048992555544E-3</v>
      </c>
      <c r="C75" s="19">
        <f t="shared" si="196"/>
        <v>1.448840792829284E-2</v>
      </c>
      <c r="D75" s="19">
        <f t="shared" ref="D75:D80" si="197">D57</f>
        <v>3.3792205080566393E-2</v>
      </c>
      <c r="E75" s="93">
        <f>D66</f>
        <v>4</v>
      </c>
      <c r="F75" s="19">
        <f t="shared" ref="F75:H75" si="198">F66</f>
        <v>0.18382656249999996</v>
      </c>
      <c r="G75" s="19">
        <f t="shared" si="198"/>
        <v>0.42874999999999996</v>
      </c>
      <c r="H75" s="78">
        <f t="shared" si="198"/>
        <v>1</v>
      </c>
      <c r="J75" s="19">
        <v>19</v>
      </c>
      <c r="K75" s="77">
        <f t="shared" si="116"/>
        <v>0.53402159999999976</v>
      </c>
      <c r="L75" s="78">
        <f t="shared" si="108"/>
        <v>5.3054553310801396</v>
      </c>
      <c r="N75" s="19">
        <v>3</v>
      </c>
      <c r="O75" s="77">
        <f t="shared" ref="O75:P75" si="199">O66</f>
        <v>4096</v>
      </c>
      <c r="P75" s="19">
        <f t="shared" si="199"/>
        <v>1024</v>
      </c>
      <c r="Q75" s="19">
        <f t="shared" ref="Q75:Q80" si="200">Q57</f>
        <v>256</v>
      </c>
      <c r="R75" s="93">
        <f>Q66</f>
        <v>453.21249983708327</v>
      </c>
      <c r="S75" s="19">
        <f t="shared" ref="S75:U75" si="201">S66</f>
        <v>16</v>
      </c>
      <c r="T75" s="19">
        <f t="shared" si="201"/>
        <v>4</v>
      </c>
      <c r="U75" s="78">
        <f t="shared" si="201"/>
        <v>1</v>
      </c>
      <c r="W75" s="19">
        <v>19</v>
      </c>
      <c r="X75" s="77">
        <f t="shared" si="118"/>
        <v>5.1600000000000019</v>
      </c>
      <c r="Y75" s="78">
        <f t="shared" si="110"/>
        <v>368.31913655017252</v>
      </c>
      <c r="AA75" s="19">
        <v>3</v>
      </c>
      <c r="AB75" s="77">
        <f t="shared" ref="AB75:AC75" si="202">AB66</f>
        <v>6.2119048992555544E-3</v>
      </c>
      <c r="AC75" s="19">
        <f t="shared" si="202"/>
        <v>1.448840792829284E-2</v>
      </c>
      <c r="AD75" s="19">
        <f t="shared" ref="AD75:AD80" si="203">AD57</f>
        <v>3.3792205080566393E-2</v>
      </c>
      <c r="AE75" s="93">
        <f>AD66</f>
        <v>49.947999999999993</v>
      </c>
      <c r="AF75" s="19">
        <f t="shared" ref="AF75:AH75" si="204">AF66</f>
        <v>0.18382656249999996</v>
      </c>
      <c r="AG75" s="19">
        <f t="shared" si="204"/>
        <v>0.42874999999999996</v>
      </c>
      <c r="AH75" s="78">
        <f t="shared" si="204"/>
        <v>1</v>
      </c>
      <c r="AJ75" s="19">
        <v>19</v>
      </c>
      <c r="AK75" s="77">
        <f t="shared" si="120"/>
        <v>0.53402159999999976</v>
      </c>
      <c r="AL75" s="78">
        <f t="shared" si="112"/>
        <v>40.688850874639684</v>
      </c>
      <c r="AN75" s="19">
        <v>3</v>
      </c>
      <c r="AO75" s="77">
        <f t="shared" ref="AO75:AP75" si="205">AO66</f>
        <v>15527753148.754057</v>
      </c>
      <c r="AP75" s="19">
        <f t="shared" si="205"/>
        <v>310878376.48662728</v>
      </c>
      <c r="AQ75" s="19">
        <f t="shared" ref="AQ75:AQ80" si="206">AQ57</f>
        <v>6224040.5318857078</v>
      </c>
      <c r="AR75" s="93">
        <f>AQ66</f>
        <v>0.42874999999999996</v>
      </c>
      <c r="AS75" s="19">
        <f t="shared" ref="AS75:AU75" si="207">AS66</f>
        <v>2494.8027039999993</v>
      </c>
      <c r="AT75" s="19">
        <f t="shared" si="207"/>
        <v>49.947999999999993</v>
      </c>
      <c r="AU75" s="78">
        <f t="shared" si="207"/>
        <v>1</v>
      </c>
      <c r="AW75" s="19">
        <v>19</v>
      </c>
      <c r="AX75" s="77">
        <f t="shared" si="122"/>
        <v>33.415212000000004</v>
      </c>
      <c r="AY75" s="78">
        <f t="shared" si="102"/>
        <v>0.56825254383564672</v>
      </c>
      <c r="AZ75" s="19">
        <f t="shared" si="123"/>
        <v>-1.1410578611378064E-2</v>
      </c>
      <c r="BA75" s="19">
        <v>3</v>
      </c>
      <c r="BB75" s="77">
        <f t="shared" ref="BB75:BC75" si="208">BB66</f>
        <v>4096</v>
      </c>
      <c r="BC75" s="19">
        <f t="shared" si="208"/>
        <v>1024</v>
      </c>
      <c r="BD75" s="19">
        <f t="shared" ref="BD75:BD80" si="209">BD57</f>
        <v>256</v>
      </c>
      <c r="BE75" s="93">
        <f>BD66</f>
        <v>9.073686630837738</v>
      </c>
      <c r="BF75" s="19">
        <f t="shared" ref="BF75:BH75" si="210">BF66</f>
        <v>16</v>
      </c>
      <c r="BG75" s="19">
        <f t="shared" si="210"/>
        <v>4</v>
      </c>
      <c r="BH75" s="78">
        <f t="shared" si="210"/>
        <v>1</v>
      </c>
      <c r="BJ75" s="19">
        <v>19</v>
      </c>
      <c r="BK75" s="77">
        <f t="shared" si="125"/>
        <v>5.1600000000000019</v>
      </c>
      <c r="BL75" s="78">
        <f t="shared" si="106"/>
        <v>8.7064321371101414</v>
      </c>
    </row>
    <row r="76" spans="1:64">
      <c r="A76" s="19">
        <v>4</v>
      </c>
      <c r="B76" s="77">
        <f t="shared" ref="B76:C76" si="211">B67</f>
        <v>1.6720708047084056E-2</v>
      </c>
      <c r="C76" s="19">
        <f t="shared" si="211"/>
        <v>3.3065788734148199E-2</v>
      </c>
      <c r="D76" s="19">
        <f t="shared" si="197"/>
        <v>6.5388761141726398E-2</v>
      </c>
      <c r="E76" s="93">
        <f t="shared" ref="E76:E80" si="212">D67</f>
        <v>5</v>
      </c>
      <c r="F76" s="19">
        <f t="shared" ref="F76:H76" si="213">F67</f>
        <v>0.25571226239999989</v>
      </c>
      <c r="G76" s="19">
        <f t="shared" si="213"/>
        <v>0.50567999999999991</v>
      </c>
      <c r="H76" s="78">
        <f t="shared" si="213"/>
        <v>1</v>
      </c>
      <c r="J76" s="19">
        <v>20</v>
      </c>
      <c r="K76" s="77">
        <f t="shared" si="116"/>
        <v>0.54474279999999975</v>
      </c>
      <c r="L76" s="78">
        <f t="shared" si="108"/>
        <v>5.4167906905791199</v>
      </c>
      <c r="N76" s="19">
        <v>4</v>
      </c>
      <c r="O76" s="77">
        <f t="shared" ref="O76:P76" si="214">O67</f>
        <v>15625</v>
      </c>
      <c r="P76" s="19">
        <f t="shared" si="214"/>
        <v>3125</v>
      </c>
      <c r="Q76" s="19">
        <f t="shared" si="200"/>
        <v>625</v>
      </c>
      <c r="R76" s="93">
        <f t="shared" ref="R76:R80" si="215">Q67</f>
        <v>378.18911451079146</v>
      </c>
      <c r="S76" s="19">
        <f t="shared" ref="S76:U76" si="216">S67</f>
        <v>25</v>
      </c>
      <c r="T76" s="19">
        <f t="shared" si="216"/>
        <v>5</v>
      </c>
      <c r="U76" s="78">
        <f t="shared" si="216"/>
        <v>1</v>
      </c>
      <c r="W76" s="19">
        <v>20</v>
      </c>
      <c r="X76" s="77">
        <f t="shared" si="118"/>
        <v>5.280000000000002</v>
      </c>
      <c r="Y76" s="78">
        <f t="shared" si="110"/>
        <v>361.22941133503718</v>
      </c>
      <c r="AA76" s="19">
        <v>4</v>
      </c>
      <c r="AB76" s="77">
        <f t="shared" ref="AB76:AC76" si="217">AB67</f>
        <v>1.6720708047084056E-2</v>
      </c>
      <c r="AC76" s="19">
        <f t="shared" si="217"/>
        <v>3.3065788734148199E-2</v>
      </c>
      <c r="AD76" s="19">
        <f t="shared" si="203"/>
        <v>6.5388761141726398E-2</v>
      </c>
      <c r="AE76" s="93">
        <f t="shared" ref="AE76:AE80" si="218">AD67</f>
        <v>44.953199999999995</v>
      </c>
      <c r="AF76" s="19">
        <f t="shared" ref="AF76:AH76" si="219">AF67</f>
        <v>0.25571226239999989</v>
      </c>
      <c r="AG76" s="19">
        <f t="shared" si="219"/>
        <v>0.50567999999999991</v>
      </c>
      <c r="AH76" s="78">
        <f t="shared" si="219"/>
        <v>1</v>
      </c>
      <c r="AJ76" s="19">
        <v>20</v>
      </c>
      <c r="AK76" s="77">
        <f t="shared" si="120"/>
        <v>0.54474279999999975</v>
      </c>
      <c r="AL76" s="78">
        <f t="shared" si="112"/>
        <v>38.947072856781233</v>
      </c>
      <c r="AN76" s="19">
        <v>4</v>
      </c>
      <c r="AO76" s="77">
        <f t="shared" ref="AO76:AP76" si="220">AO67</f>
        <v>8252084661.1270084</v>
      </c>
      <c r="AP76" s="19">
        <f t="shared" si="220"/>
        <v>183570572.53158861</v>
      </c>
      <c r="AQ76" s="19">
        <f t="shared" si="206"/>
        <v>4083592.9929702142</v>
      </c>
      <c r="AR76" s="93">
        <f t="shared" ref="AR76:AR80" si="221">AQ67</f>
        <v>0.50567999999999991</v>
      </c>
      <c r="AS76" s="19">
        <f t="shared" ref="AS76:AU76" si="222">AS67</f>
        <v>2020.7901902399997</v>
      </c>
      <c r="AT76" s="19">
        <f t="shared" si="222"/>
        <v>44.953199999999995</v>
      </c>
      <c r="AU76" s="78">
        <f t="shared" si="222"/>
        <v>1</v>
      </c>
      <c r="AW76" s="19">
        <v>20</v>
      </c>
      <c r="AX76" s="77">
        <f t="shared" si="122"/>
        <v>34.439146000000001</v>
      </c>
      <c r="AY76" s="78">
        <f t="shared" si="102"/>
        <v>0.5586599436973072</v>
      </c>
      <c r="AZ76" s="19">
        <f t="shared" si="123"/>
        <v>-9.5926001383395132E-3</v>
      </c>
      <c r="BA76" s="19">
        <v>4</v>
      </c>
      <c r="BB76" s="77">
        <f t="shared" ref="BB76:BC76" si="223">BB67</f>
        <v>15625</v>
      </c>
      <c r="BC76" s="19">
        <f t="shared" si="223"/>
        <v>3125</v>
      </c>
      <c r="BD76" s="19">
        <f t="shared" si="209"/>
        <v>625</v>
      </c>
      <c r="BE76" s="93">
        <f t="shared" ref="BE76:BE80" si="224">BD67</f>
        <v>8.4129520147796271</v>
      </c>
      <c r="BF76" s="19">
        <f t="shared" ref="BF76:BH76" si="225">BF67</f>
        <v>25</v>
      </c>
      <c r="BG76" s="19">
        <f t="shared" si="225"/>
        <v>5</v>
      </c>
      <c r="BH76" s="78">
        <f t="shared" si="225"/>
        <v>1</v>
      </c>
      <c r="BJ76" s="19">
        <v>20</v>
      </c>
      <c r="BK76" s="77">
        <f t="shared" si="125"/>
        <v>5.280000000000002</v>
      </c>
      <c r="BL76" s="78">
        <f t="shared" si="106"/>
        <v>8.9633233550205205</v>
      </c>
    </row>
    <row r="77" spans="1:64">
      <c r="A77" s="19">
        <v>5</v>
      </c>
      <c r="B77" s="77">
        <f t="shared" ref="B77:C77" si="226">B68</f>
        <v>4.6772761567521089E-2</v>
      </c>
      <c r="C77" s="19">
        <f t="shared" si="226"/>
        <v>7.7922135056261707E-2</v>
      </c>
      <c r="D77" s="19">
        <f t="shared" si="197"/>
        <v>0.12981613503750389</v>
      </c>
      <c r="E77" s="93">
        <f t="shared" si="212"/>
        <v>6</v>
      </c>
      <c r="F77" s="19">
        <f t="shared" ref="F77:H77" si="227">F68</f>
        <v>0.36030006249999996</v>
      </c>
      <c r="G77" s="19">
        <f t="shared" si="227"/>
        <v>0.60024999999999995</v>
      </c>
      <c r="H77" s="78">
        <f t="shared" si="227"/>
        <v>1</v>
      </c>
      <c r="J77" s="19">
        <v>21</v>
      </c>
      <c r="K77" s="77">
        <f t="shared" si="116"/>
        <v>0.55546399999999974</v>
      </c>
      <c r="L77" s="78">
        <f t="shared" si="108"/>
        <v>5.5273537244404736</v>
      </c>
      <c r="N77" s="19">
        <v>5</v>
      </c>
      <c r="O77" s="77">
        <f t="shared" ref="O77:P77" si="228">O68</f>
        <v>46656</v>
      </c>
      <c r="P77" s="19">
        <f t="shared" si="228"/>
        <v>7776</v>
      </c>
      <c r="Q77" s="19">
        <f t="shared" si="200"/>
        <v>1296</v>
      </c>
      <c r="R77" s="93">
        <f t="shared" si="215"/>
        <v>323.72321416934517</v>
      </c>
      <c r="S77" s="19">
        <f t="shared" ref="S77:U77" si="229">S68</f>
        <v>36</v>
      </c>
      <c r="T77" s="19">
        <f t="shared" si="229"/>
        <v>6</v>
      </c>
      <c r="U77" s="78">
        <f t="shared" si="229"/>
        <v>1</v>
      </c>
      <c r="W77" s="19">
        <v>21</v>
      </c>
      <c r="X77" s="77">
        <f t="shared" si="118"/>
        <v>5.4000000000000021</v>
      </c>
      <c r="Y77" s="78">
        <f t="shared" si="110"/>
        <v>354.39503621741096</v>
      </c>
      <c r="AA77" s="19">
        <v>5</v>
      </c>
      <c r="AB77" s="77">
        <f t="shared" ref="AB77:AC77" si="230">AB68</f>
        <v>4.6772761567521089E-2</v>
      </c>
      <c r="AC77" s="19">
        <f t="shared" si="230"/>
        <v>7.7922135056261707E-2</v>
      </c>
      <c r="AD77" s="19">
        <f t="shared" si="203"/>
        <v>0.12981613503750389</v>
      </c>
      <c r="AE77" s="93">
        <f t="shared" si="218"/>
        <v>30.855377000000001</v>
      </c>
      <c r="AF77" s="19">
        <f t="shared" ref="AF77:AH77" si="231">AF68</f>
        <v>0.36030006249999996</v>
      </c>
      <c r="AG77" s="19">
        <f t="shared" si="231"/>
        <v>0.60024999999999995</v>
      </c>
      <c r="AH77" s="78">
        <f t="shared" si="231"/>
        <v>1</v>
      </c>
      <c r="AJ77" s="19">
        <v>21</v>
      </c>
      <c r="AK77" s="77">
        <f t="shared" si="120"/>
        <v>0.55546399999999974</v>
      </c>
      <c r="AL77" s="78">
        <f t="shared" si="112"/>
        <v>37.206885450241316</v>
      </c>
      <c r="AN77" s="19">
        <v>5</v>
      </c>
      <c r="AO77" s="77">
        <f t="shared" ref="AO77:AP77" si="232">AO68</f>
        <v>862949025.63956308</v>
      </c>
      <c r="AP77" s="19">
        <f t="shared" si="232"/>
        <v>27967541.140060067</v>
      </c>
      <c r="AQ77" s="19">
        <f t="shared" si="206"/>
        <v>906407.3707496773</v>
      </c>
      <c r="AR77" s="93">
        <f t="shared" si="221"/>
        <v>0.60024999999999995</v>
      </c>
      <c r="AS77" s="19">
        <f t="shared" ref="AS77:AU77" si="233">AS68</f>
        <v>952.05428981212901</v>
      </c>
      <c r="AT77" s="19">
        <f t="shared" si="233"/>
        <v>30.855377000000001</v>
      </c>
      <c r="AU77" s="78">
        <f t="shared" si="233"/>
        <v>1</v>
      </c>
      <c r="AW77" s="19">
        <v>21</v>
      </c>
      <c r="AX77" s="77">
        <f t="shared" si="122"/>
        <v>35.463079999999998</v>
      </c>
      <c r="AY77" s="78">
        <f t="shared" si="102"/>
        <v>0.55077588828300938</v>
      </c>
      <c r="AZ77" s="19">
        <f t="shared" si="123"/>
        <v>-7.8840554142978192E-3</v>
      </c>
      <c r="BA77" s="19">
        <v>5</v>
      </c>
      <c r="BB77" s="77">
        <f t="shared" ref="BB77:BC77" si="234">BB68</f>
        <v>46656</v>
      </c>
      <c r="BC77" s="19">
        <f t="shared" si="234"/>
        <v>7776</v>
      </c>
      <c r="BD77" s="19">
        <f t="shared" si="209"/>
        <v>1296</v>
      </c>
      <c r="BE77" s="93">
        <f t="shared" si="224"/>
        <v>10.491630491805211</v>
      </c>
      <c r="BF77" s="19">
        <f t="shared" ref="BF77:BH77" si="235">BF68</f>
        <v>36</v>
      </c>
      <c r="BG77" s="19">
        <f t="shared" si="235"/>
        <v>6</v>
      </c>
      <c r="BH77" s="78">
        <f t="shared" si="235"/>
        <v>1</v>
      </c>
      <c r="BJ77" s="19">
        <v>21</v>
      </c>
      <c r="BK77" s="77">
        <f t="shared" si="125"/>
        <v>5.4000000000000021</v>
      </c>
      <c r="BL77" s="78">
        <f t="shared" si="106"/>
        <v>9.2380724670076688</v>
      </c>
    </row>
    <row r="78" spans="1:64">
      <c r="A78" s="19">
        <v>6</v>
      </c>
      <c r="B78" s="77">
        <f t="shared" ref="B78:C78" si="236">B69</f>
        <v>0.10244458085321199</v>
      </c>
      <c r="C78" s="19">
        <f t="shared" si="236"/>
        <v>0.14976402089528679</v>
      </c>
      <c r="D78" s="19">
        <f t="shared" si="197"/>
        <v>0.21894044338823282</v>
      </c>
      <c r="E78" s="93">
        <f t="shared" si="212"/>
        <v>7</v>
      </c>
      <c r="F78" s="19">
        <f t="shared" ref="F78:H78" si="237">F69</f>
        <v>0.46791072160000013</v>
      </c>
      <c r="G78" s="19">
        <f t="shared" si="237"/>
        <v>0.68404000000000009</v>
      </c>
      <c r="H78" s="78">
        <f t="shared" si="237"/>
        <v>1</v>
      </c>
      <c r="J78" s="19">
        <v>22</v>
      </c>
      <c r="K78" s="77">
        <f t="shared" si="116"/>
        <v>0.56618519999999972</v>
      </c>
      <c r="L78" s="78">
        <f t="shared" si="108"/>
        <v>5.638086285401215</v>
      </c>
      <c r="N78" s="19">
        <v>6</v>
      </c>
      <c r="O78" s="77">
        <f t="shared" ref="O78:P78" si="238">O69</f>
        <v>117649</v>
      </c>
      <c r="P78" s="19">
        <f t="shared" si="238"/>
        <v>16807</v>
      </c>
      <c r="Q78" s="19">
        <f t="shared" si="200"/>
        <v>2401</v>
      </c>
      <c r="R78" s="93">
        <f t="shared" si="215"/>
        <v>283.32174408346413</v>
      </c>
      <c r="S78" s="19">
        <f t="shared" ref="S78:U78" si="239">S69</f>
        <v>49</v>
      </c>
      <c r="T78" s="19">
        <f t="shared" si="239"/>
        <v>7</v>
      </c>
      <c r="U78" s="78">
        <f t="shared" si="239"/>
        <v>1</v>
      </c>
      <c r="W78" s="19">
        <v>22</v>
      </c>
      <c r="X78" s="77">
        <f t="shared" si="118"/>
        <v>5.5200000000000022</v>
      </c>
      <c r="Y78" s="78">
        <f t="shared" si="110"/>
        <v>347.80585224861898</v>
      </c>
      <c r="AA78" s="19">
        <v>6</v>
      </c>
      <c r="AB78" s="77">
        <f t="shared" ref="AB78:AC78" si="240">AB69</f>
        <v>0.10244458085321199</v>
      </c>
      <c r="AC78" s="19">
        <f t="shared" si="240"/>
        <v>0.14976402089528679</v>
      </c>
      <c r="AD78" s="19">
        <f t="shared" si="203"/>
        <v>0.21894044338823282</v>
      </c>
      <c r="AE78" s="93">
        <f t="shared" si="218"/>
        <v>26.2227</v>
      </c>
      <c r="AF78" s="19">
        <f t="shared" ref="AF78:AH78" si="241">AF69</f>
        <v>0.46791072160000013</v>
      </c>
      <c r="AG78" s="19">
        <f t="shared" si="241"/>
        <v>0.68404000000000009</v>
      </c>
      <c r="AH78" s="78">
        <f t="shared" si="241"/>
        <v>1</v>
      </c>
      <c r="AJ78" s="19">
        <v>22</v>
      </c>
      <c r="AK78" s="77">
        <f t="shared" si="120"/>
        <v>0.56618519999999972</v>
      </c>
      <c r="AL78" s="78">
        <f t="shared" si="112"/>
        <v>35.512566046219945</v>
      </c>
      <c r="AN78" s="19">
        <v>6</v>
      </c>
      <c r="AO78" s="77">
        <f t="shared" ref="AO78:AP78" si="242">AO69</f>
        <v>325135535.98978829</v>
      </c>
      <c r="AP78" s="19">
        <f t="shared" si="242"/>
        <v>12399010.627806759</v>
      </c>
      <c r="AQ78" s="19">
        <f t="shared" si="206"/>
        <v>472835.01042252546</v>
      </c>
      <c r="AR78" s="93">
        <f t="shared" si="221"/>
        <v>0.68404000000000009</v>
      </c>
      <c r="AS78" s="19">
        <f t="shared" ref="AS78:AU78" si="243">AS69</f>
        <v>687.62999529000001</v>
      </c>
      <c r="AT78" s="19">
        <f t="shared" si="243"/>
        <v>26.2227</v>
      </c>
      <c r="AU78" s="78">
        <f t="shared" si="243"/>
        <v>1</v>
      </c>
      <c r="AW78" s="19">
        <v>22</v>
      </c>
      <c r="AX78" s="77">
        <f t="shared" si="122"/>
        <v>36.487013999999995</v>
      </c>
      <c r="AY78" s="78">
        <f t="shared" si="102"/>
        <v>0.54442055056564054</v>
      </c>
      <c r="AZ78" s="19">
        <f t="shared" si="123"/>
        <v>-6.3553377173688474E-3</v>
      </c>
      <c r="BA78" s="19">
        <v>6</v>
      </c>
      <c r="BB78" s="77">
        <f t="shared" ref="BB78:BC78" si="244">BB69</f>
        <v>117649</v>
      </c>
      <c r="BC78" s="19">
        <f t="shared" si="244"/>
        <v>16807</v>
      </c>
      <c r="BD78" s="19">
        <f t="shared" si="209"/>
        <v>2401</v>
      </c>
      <c r="BE78" s="93">
        <f t="shared" si="224"/>
        <v>10.804445922176745</v>
      </c>
      <c r="BF78" s="19">
        <f t="shared" ref="BF78:BH78" si="245">BF69</f>
        <v>49</v>
      </c>
      <c r="BG78" s="19">
        <f t="shared" si="245"/>
        <v>7</v>
      </c>
      <c r="BH78" s="78">
        <f t="shared" si="245"/>
        <v>1</v>
      </c>
      <c r="BJ78" s="19">
        <v>22</v>
      </c>
      <c r="BK78" s="77">
        <f t="shared" si="125"/>
        <v>5.5200000000000022</v>
      </c>
      <c r="BL78" s="78">
        <f t="shared" si="106"/>
        <v>9.5186377429902223</v>
      </c>
    </row>
    <row r="79" spans="1:64">
      <c r="A79" s="19">
        <v>7</v>
      </c>
      <c r="B79" s="77">
        <f t="shared" ref="B79:C79" si="246">B70</f>
        <v>0.2112807009001775</v>
      </c>
      <c r="C79" s="19">
        <f t="shared" si="246"/>
        <v>0.27376831992248463</v>
      </c>
      <c r="D79" s="19">
        <f t="shared" si="197"/>
        <v>0.35473705205375394</v>
      </c>
      <c r="E79" s="93">
        <f t="shared" si="212"/>
        <v>8</v>
      </c>
      <c r="F79" s="19">
        <f t="shared" ref="F79:H79" si="247">F70</f>
        <v>0.59559806250000003</v>
      </c>
      <c r="G79" s="19">
        <f t="shared" si="247"/>
        <v>0.77175000000000005</v>
      </c>
      <c r="H79" s="78">
        <f t="shared" si="247"/>
        <v>1</v>
      </c>
      <c r="J79" s="19">
        <v>23</v>
      </c>
      <c r="K79" s="77">
        <f t="shared" si="116"/>
        <v>0.57690639999999971</v>
      </c>
      <c r="L79" s="78">
        <f t="shared" si="108"/>
        <v>5.7498399222727414</v>
      </c>
      <c r="N79" s="19">
        <v>7</v>
      </c>
      <c r="O79" s="77">
        <f t="shared" ref="O79:P79" si="248">O70</f>
        <v>262144</v>
      </c>
      <c r="P79" s="19">
        <f t="shared" si="248"/>
        <v>32768</v>
      </c>
      <c r="Q79" s="19">
        <f t="shared" si="200"/>
        <v>4096</v>
      </c>
      <c r="R79" s="93">
        <f t="shared" si="215"/>
        <v>251.7847221317129</v>
      </c>
      <c r="S79" s="19">
        <f t="shared" ref="S79:U79" si="249">S70</f>
        <v>64</v>
      </c>
      <c r="T79" s="19">
        <f t="shared" si="249"/>
        <v>8</v>
      </c>
      <c r="U79" s="78">
        <f t="shared" si="249"/>
        <v>1</v>
      </c>
      <c r="W79" s="19">
        <v>23</v>
      </c>
      <c r="X79" s="77">
        <f t="shared" si="118"/>
        <v>5.6400000000000023</v>
      </c>
      <c r="Y79" s="78">
        <f t="shared" si="110"/>
        <v>341.45257736680105</v>
      </c>
      <c r="AA79" s="19">
        <v>7</v>
      </c>
      <c r="AB79" s="77">
        <f t="shared" ref="AB79:AC79" si="250">AB70</f>
        <v>0.2112807009001775</v>
      </c>
      <c r="AC79" s="19">
        <f t="shared" si="250"/>
        <v>0.27376831992248463</v>
      </c>
      <c r="AD79" s="19">
        <f t="shared" si="203"/>
        <v>0.35473705205375394</v>
      </c>
      <c r="AE79" s="93">
        <f t="shared" si="218"/>
        <v>22.039554999999996</v>
      </c>
      <c r="AF79" s="19">
        <f t="shared" ref="AF79:AH79" si="251">AF70</f>
        <v>0.59559806250000003</v>
      </c>
      <c r="AG79" s="19">
        <f t="shared" si="251"/>
        <v>0.77175000000000005</v>
      </c>
      <c r="AH79" s="78">
        <f t="shared" si="251"/>
        <v>1</v>
      </c>
      <c r="AJ79" s="19">
        <v>23</v>
      </c>
      <c r="AK79" s="77">
        <f t="shared" si="120"/>
        <v>0.57690639999999971</v>
      </c>
      <c r="AL79" s="78">
        <f t="shared" si="112"/>
        <v>33.904204889344328</v>
      </c>
      <c r="AN79" s="19">
        <v>7</v>
      </c>
      <c r="AO79" s="77">
        <f t="shared" ref="AO79:AP79" si="252">AO70</f>
        <v>114608526.42706832</v>
      </c>
      <c r="AP79" s="19">
        <f t="shared" si="252"/>
        <v>5200128.8786034174</v>
      </c>
      <c r="AQ79" s="19">
        <f t="shared" si="206"/>
        <v>235945.2756012278</v>
      </c>
      <c r="AR79" s="93">
        <f t="shared" si="221"/>
        <v>0.77175000000000005</v>
      </c>
      <c r="AS79" s="19">
        <f t="shared" ref="AS79:AU79" si="253">AS70</f>
        <v>485.74198459802483</v>
      </c>
      <c r="AT79" s="19">
        <f t="shared" si="253"/>
        <v>22.039554999999996</v>
      </c>
      <c r="AU79" s="78">
        <f t="shared" si="253"/>
        <v>1</v>
      </c>
      <c r="AW79" s="19">
        <v>23</v>
      </c>
      <c r="AX79" s="77">
        <f t="shared" si="122"/>
        <v>37.510947999999992</v>
      </c>
      <c r="AY79" s="78">
        <f t="shared" si="102"/>
        <v>0.53934697347616889</v>
      </c>
      <c r="AZ79" s="19">
        <f t="shared" si="123"/>
        <v>-5.0735770894716481E-3</v>
      </c>
      <c r="BA79" s="19">
        <v>7</v>
      </c>
      <c r="BB79" s="77">
        <f t="shared" ref="BB79:BC79" si="254">BB70</f>
        <v>262144</v>
      </c>
      <c r="BC79" s="19">
        <f t="shared" si="254"/>
        <v>32768</v>
      </c>
      <c r="BD79" s="19">
        <f t="shared" si="209"/>
        <v>4096</v>
      </c>
      <c r="BE79" s="93">
        <f t="shared" si="224"/>
        <v>11.424219868854564</v>
      </c>
      <c r="BF79" s="19">
        <f t="shared" ref="BF79:BH79" si="255">BF70</f>
        <v>64</v>
      </c>
      <c r="BG79" s="19">
        <f t="shared" si="255"/>
        <v>8</v>
      </c>
      <c r="BH79" s="78">
        <f t="shared" si="255"/>
        <v>1</v>
      </c>
      <c r="BJ79" s="19">
        <v>23</v>
      </c>
      <c r="BK79" s="77">
        <f t="shared" si="125"/>
        <v>5.6400000000000023</v>
      </c>
      <c r="BL79" s="78">
        <f t="shared" si="106"/>
        <v>9.7937080221111046</v>
      </c>
    </row>
    <row r="80" spans="1:64">
      <c r="A80" s="19">
        <v>8</v>
      </c>
      <c r="B80" s="79">
        <f t="shared" ref="B80:C80" si="256">B71</f>
        <v>0.45529687141342695</v>
      </c>
      <c r="C80" s="80">
        <f t="shared" si="256"/>
        <v>0.51909345731778245</v>
      </c>
      <c r="D80" s="80">
        <f t="shared" si="197"/>
        <v>0.59182927524544804</v>
      </c>
      <c r="E80" s="86">
        <f t="shared" si="212"/>
        <v>9</v>
      </c>
      <c r="F80" s="80">
        <f t="shared" ref="F80:H80" si="257">F71</f>
        <v>0.76930440999999994</v>
      </c>
      <c r="G80" s="80">
        <f t="shared" si="257"/>
        <v>0.87709999999999999</v>
      </c>
      <c r="H80" s="81">
        <f t="shared" si="257"/>
        <v>1</v>
      </c>
      <c r="J80" s="19">
        <v>24</v>
      </c>
      <c r="K80" s="77">
        <f t="shared" si="116"/>
        <v>0.58762759999999969</v>
      </c>
      <c r="L80" s="78">
        <f t="shared" si="108"/>
        <v>5.8633441752588453</v>
      </c>
      <c r="N80" s="19">
        <v>8</v>
      </c>
      <c r="O80" s="79">
        <f t="shared" ref="O80:P80" si="258">O71</f>
        <v>531441</v>
      </c>
      <c r="P80" s="80">
        <f t="shared" si="258"/>
        <v>59049</v>
      </c>
      <c r="Q80" s="80">
        <f t="shared" si="200"/>
        <v>6561</v>
      </c>
      <c r="R80" s="86">
        <f t="shared" si="215"/>
        <v>226.19791658535507</v>
      </c>
      <c r="S80" s="80">
        <f t="shared" ref="S80:U80" si="259">S71</f>
        <v>81</v>
      </c>
      <c r="T80" s="80">
        <f t="shared" si="259"/>
        <v>9</v>
      </c>
      <c r="U80" s="81">
        <f t="shared" si="259"/>
        <v>1</v>
      </c>
      <c r="W80" s="19">
        <v>24</v>
      </c>
      <c r="X80" s="77">
        <f t="shared" si="118"/>
        <v>5.7600000000000025</v>
      </c>
      <c r="Y80" s="78">
        <f t="shared" si="110"/>
        <v>335.32654165717304</v>
      </c>
      <c r="AA80" s="19">
        <v>8</v>
      </c>
      <c r="AB80" s="79">
        <f t="shared" ref="AB80:AC80" si="260">AB71</f>
        <v>0.45529687141342695</v>
      </c>
      <c r="AC80" s="80">
        <f t="shared" si="260"/>
        <v>0.51909345731778245</v>
      </c>
      <c r="AD80" s="80">
        <f t="shared" si="203"/>
        <v>0.59182927524544804</v>
      </c>
      <c r="AE80" s="86">
        <f t="shared" si="218"/>
        <v>14.984399999999999</v>
      </c>
      <c r="AF80" s="80">
        <f t="shared" ref="AF80:AH80" si="261">AF71</f>
        <v>0.76930440999999994</v>
      </c>
      <c r="AG80" s="80">
        <f t="shared" si="261"/>
        <v>0.87709999999999999</v>
      </c>
      <c r="AH80" s="81">
        <f t="shared" si="261"/>
        <v>1</v>
      </c>
      <c r="AJ80" s="19">
        <v>24</v>
      </c>
      <c r="AK80" s="77">
        <f t="shared" si="120"/>
        <v>0.58762759999999969</v>
      </c>
      <c r="AL80" s="78">
        <f t="shared" si="112"/>
        <v>32.416190960384483</v>
      </c>
      <c r="AN80" s="19">
        <v>8</v>
      </c>
      <c r="AO80" s="79">
        <f t="shared" ref="AO80:AP80" si="262">AO71</f>
        <v>11319732.045441713</v>
      </c>
      <c r="AP80" s="80">
        <f t="shared" si="262"/>
        <v>755434.45486250462</v>
      </c>
      <c r="AQ80" s="80">
        <f t="shared" si="206"/>
        <v>50414.728308274251</v>
      </c>
      <c r="AR80" s="86">
        <f t="shared" si="221"/>
        <v>0.87709999999999999</v>
      </c>
      <c r="AS80" s="80">
        <f t="shared" ref="AS80:AU80" si="263">AS71</f>
        <v>224.53224335999997</v>
      </c>
      <c r="AT80" s="80">
        <f t="shared" si="263"/>
        <v>14.984399999999999</v>
      </c>
      <c r="AU80" s="81">
        <f t="shared" si="263"/>
        <v>1</v>
      </c>
      <c r="AW80" s="19">
        <v>24</v>
      </c>
      <c r="AX80" s="77">
        <f t="shared" si="122"/>
        <v>38.534881999999989</v>
      </c>
      <c r="AY80" s="78">
        <f t="shared" si="102"/>
        <v>0.53524603155785999</v>
      </c>
      <c r="AZ80" s="19">
        <f t="shared" si="123"/>
        <v>-4.100941918308898E-3</v>
      </c>
      <c r="BA80" s="19">
        <v>8</v>
      </c>
      <c r="BB80" s="79">
        <f t="shared" ref="BB80:BC80" si="264">BB71</f>
        <v>531441</v>
      </c>
      <c r="BC80" s="80">
        <f t="shared" si="264"/>
        <v>59049</v>
      </c>
      <c r="BD80" s="80">
        <f t="shared" si="209"/>
        <v>6561</v>
      </c>
      <c r="BE80" s="86">
        <f t="shared" si="224"/>
        <v>15.095560488598482</v>
      </c>
      <c r="BF80" s="80">
        <f t="shared" ref="BF80:BH80" si="265">BF71</f>
        <v>81</v>
      </c>
      <c r="BG80" s="80">
        <f t="shared" si="265"/>
        <v>9</v>
      </c>
      <c r="BH80" s="81">
        <f t="shared" si="265"/>
        <v>1</v>
      </c>
      <c r="BJ80" s="19">
        <v>24</v>
      </c>
      <c r="BK80" s="77">
        <f t="shared" si="125"/>
        <v>5.7600000000000025</v>
      </c>
      <c r="BL80" s="78">
        <f t="shared" si="106"/>
        <v>10.053096595016768</v>
      </c>
    </row>
    <row r="81" spans="1:64">
      <c r="J81" s="19">
        <v>25</v>
      </c>
      <c r="K81" s="77">
        <f t="shared" si="116"/>
        <v>0.59834879999999968</v>
      </c>
      <c r="L81" s="78">
        <f t="shared" si="108"/>
        <v>5.9791809132571245</v>
      </c>
      <c r="W81" s="19">
        <v>25</v>
      </c>
      <c r="X81" s="77">
        <f t="shared" si="118"/>
        <v>5.8800000000000026</v>
      </c>
      <c r="Y81" s="78">
        <f t="shared" si="110"/>
        <v>329.4194560093465</v>
      </c>
      <c r="AJ81" s="19">
        <v>25</v>
      </c>
      <c r="AK81" s="77">
        <f t="shared" si="120"/>
        <v>0.59834879999999968</v>
      </c>
      <c r="AL81" s="78">
        <f t="shared" si="112"/>
        <v>31.075990407231075</v>
      </c>
      <c r="AW81" s="19">
        <v>25</v>
      </c>
      <c r="AX81" s="77">
        <f t="shared" si="122"/>
        <v>39.558815999999986</v>
      </c>
      <c r="AY81" s="78">
        <f t="shared" si="102"/>
        <v>0.53175309103835633</v>
      </c>
      <c r="AZ81" s="19">
        <f t="shared" si="123"/>
        <v>-3.4929405195036622E-3</v>
      </c>
      <c r="BJ81" s="19">
        <v>25</v>
      </c>
      <c r="BK81" s="77">
        <f t="shared" si="125"/>
        <v>5.8800000000000026</v>
      </c>
      <c r="BL81" s="78">
        <f t="shared" si="106"/>
        <v>10.288072680255254</v>
      </c>
    </row>
    <row r="82" spans="1:64">
      <c r="A82" s="19" t="s">
        <v>110</v>
      </c>
      <c r="B82" s="19">
        <v>6</v>
      </c>
      <c r="C82" s="19">
        <v>5</v>
      </c>
      <c r="D82" s="19">
        <v>4</v>
      </c>
      <c r="E82" s="19">
        <v>3</v>
      </c>
      <c r="F82" s="19">
        <v>2</v>
      </c>
      <c r="G82" s="19">
        <v>1</v>
      </c>
      <c r="H82" s="19">
        <v>0</v>
      </c>
      <c r="J82" s="19">
        <v>26</v>
      </c>
      <c r="K82" s="77">
        <f t="shared" si="116"/>
        <v>0.60906999999999967</v>
      </c>
      <c r="L82" s="78">
        <f t="shared" si="108"/>
        <v>6.0977647131246897</v>
      </c>
      <c r="N82" s="19" t="s">
        <v>110</v>
      </c>
      <c r="O82" s="19">
        <v>6</v>
      </c>
      <c r="P82" s="19">
        <v>5</v>
      </c>
      <c r="Q82" s="19">
        <v>4</v>
      </c>
      <c r="R82" s="19">
        <v>3</v>
      </c>
      <c r="S82" s="19">
        <v>2</v>
      </c>
      <c r="T82" s="19">
        <v>1</v>
      </c>
      <c r="U82" s="19">
        <v>0</v>
      </c>
      <c r="W82" s="19">
        <v>26</v>
      </c>
      <c r="X82" s="77">
        <f t="shared" si="118"/>
        <v>6.0000000000000027</v>
      </c>
      <c r="Y82" s="78">
        <f t="shared" si="110"/>
        <v>323.72321417159947</v>
      </c>
      <c r="AA82" s="19" t="s">
        <v>110</v>
      </c>
      <c r="AB82" s="19">
        <v>6</v>
      </c>
      <c r="AC82" s="19">
        <v>5</v>
      </c>
      <c r="AD82" s="19">
        <v>4</v>
      </c>
      <c r="AE82" s="19">
        <v>3</v>
      </c>
      <c r="AF82" s="19">
        <v>2</v>
      </c>
      <c r="AG82" s="19">
        <v>1</v>
      </c>
      <c r="AH82" s="19">
        <v>0</v>
      </c>
      <c r="AJ82" s="19">
        <v>26</v>
      </c>
      <c r="AK82" s="77">
        <f t="shared" si="120"/>
        <v>0.60906999999999967</v>
      </c>
      <c r="AL82" s="78">
        <f t="shared" si="112"/>
        <v>29.903217522934938</v>
      </c>
      <c r="AN82" s="19" t="s">
        <v>110</v>
      </c>
      <c r="AO82" s="19">
        <v>6</v>
      </c>
      <c r="AP82" s="19">
        <v>5</v>
      </c>
      <c r="AQ82" s="19">
        <v>4</v>
      </c>
      <c r="AR82" s="19">
        <v>3</v>
      </c>
      <c r="AS82" s="19">
        <v>2</v>
      </c>
      <c r="AT82" s="19">
        <v>1</v>
      </c>
      <c r="AU82" s="19">
        <v>0</v>
      </c>
      <c r="AW82" s="19">
        <v>26</v>
      </c>
      <c r="AX82" s="77">
        <f t="shared" si="122"/>
        <v>40.582749999999983</v>
      </c>
      <c r="AY82" s="78">
        <f t="shared" si="102"/>
        <v>0.5284563683199115</v>
      </c>
      <c r="AZ82" s="19">
        <f t="shared" si="123"/>
        <v>-3.2967227184448333E-3</v>
      </c>
      <c r="BA82" s="19" t="s">
        <v>110</v>
      </c>
      <c r="BB82" s="19">
        <v>6</v>
      </c>
      <c r="BC82" s="19">
        <v>5</v>
      </c>
      <c r="BD82" s="19">
        <v>4</v>
      </c>
      <c r="BE82" s="19">
        <v>3</v>
      </c>
      <c r="BF82" s="19">
        <v>2</v>
      </c>
      <c r="BG82" s="19">
        <v>1</v>
      </c>
      <c r="BH82" s="19">
        <v>0</v>
      </c>
      <c r="BJ82" s="19">
        <v>26</v>
      </c>
      <c r="BK82" s="77">
        <f t="shared" si="125"/>
        <v>6.0000000000000027</v>
      </c>
      <c r="BL82" s="78">
        <f t="shared" si="106"/>
        <v>10.491630495044092</v>
      </c>
    </row>
    <row r="83" spans="1:64">
      <c r="A83" s="19">
        <v>2</v>
      </c>
      <c r="B83" s="74">
        <f>B74</f>
        <v>1.5733738139927513E-3</v>
      </c>
      <c r="C83" s="75">
        <f t="shared" ref="C83:D83" si="266">C74</f>
        <v>4.6134582863967613E-3</v>
      </c>
      <c r="D83" s="75">
        <f t="shared" si="266"/>
        <v>1.35276163687449E-2</v>
      </c>
      <c r="E83" s="75">
        <f>E65</f>
        <v>3.9665776356864003E-2</v>
      </c>
      <c r="F83" s="85">
        <f>E74</f>
        <v>3</v>
      </c>
      <c r="G83" s="75">
        <f>G74</f>
        <v>0.34104000000000001</v>
      </c>
      <c r="H83" s="76">
        <f>H74</f>
        <v>1</v>
      </c>
      <c r="I83" s="19">
        <f>IF($B$4=7,MDETERM(B83:H89),IF($B$4=6,MDETERM(C83:H88),IF($B$4=5,MDETERM(D83:H87),IF($B$4=4,MDETERM(E83:H86),IF($B$4=3,MDETERM(F83:H85),"ERRO")))))</f>
        <v>-1.9354762183069573E-11</v>
      </c>
      <c r="J83" s="19">
        <v>27</v>
      </c>
      <c r="K83" s="77">
        <f t="shared" si="116"/>
        <v>0.61979119999999965</v>
      </c>
      <c r="L83" s="78">
        <f t="shared" si="108"/>
        <v>6.2193292809204479</v>
      </c>
      <c r="N83" s="19">
        <v>2</v>
      </c>
      <c r="O83" s="74">
        <f>O74</f>
        <v>729</v>
      </c>
      <c r="P83" s="75">
        <f t="shared" ref="P83:Q83" si="267">P74</f>
        <v>243</v>
      </c>
      <c r="Q83" s="75">
        <f t="shared" si="267"/>
        <v>81</v>
      </c>
      <c r="R83" s="75">
        <f>R65</f>
        <v>27</v>
      </c>
      <c r="S83" s="85">
        <f>R74</f>
        <v>566.77140926841628</v>
      </c>
      <c r="T83" s="75">
        <f>T74</f>
        <v>3</v>
      </c>
      <c r="U83" s="76">
        <f>U74</f>
        <v>1</v>
      </c>
      <c r="V83" s="19">
        <f>IF($B$4=7,MDETERM(O83:U89),IF($B$4=6,MDETERM(P83:U88),IF($B$4=5,MDETERM(Q83:U87),IF($B$4=4,MDETERM(R83:U86),IF($B$4=3,MDETERM(S83:U85),"ERRO")))))</f>
        <v>-9972393026.6442852</v>
      </c>
      <c r="W83" s="19">
        <v>27</v>
      </c>
      <c r="X83" s="77">
        <f t="shared" si="118"/>
        <v>6.1200000000000028</v>
      </c>
      <c r="Y83" s="78">
        <f t="shared" si="110"/>
        <v>318.22972820220366</v>
      </c>
      <c r="AA83" s="19">
        <v>2</v>
      </c>
      <c r="AB83" s="74">
        <f>AB74</f>
        <v>1.5733738139927513E-3</v>
      </c>
      <c r="AC83" s="75">
        <f t="shared" ref="AC83:AD83" si="268">AC74</f>
        <v>4.6134582863967613E-3</v>
      </c>
      <c r="AD83" s="75">
        <f t="shared" si="268"/>
        <v>1.35276163687449E-2</v>
      </c>
      <c r="AE83" s="75">
        <f>AE65</f>
        <v>3.9665776356864003E-2</v>
      </c>
      <c r="AF83" s="85">
        <f>AE74</f>
        <v>66.181100000000001</v>
      </c>
      <c r="AG83" s="75">
        <f>AG74</f>
        <v>0.34104000000000001</v>
      </c>
      <c r="AH83" s="76">
        <f>AH74</f>
        <v>1</v>
      </c>
      <c r="AI83" s="19">
        <f>IF($B$4=7,MDETERM(AB83:AH89),IF($B$4=6,MDETERM(AC83:AH88),IF($B$4=5,MDETERM(AD83:AH87),IF($B$4=4,MDETERM(AE83:AH86),IF($B$4=3,MDETERM(AF83:AH85),"ERRO")))))</f>
        <v>-9.3606622860818364E-10</v>
      </c>
      <c r="AJ83" s="19">
        <v>27</v>
      </c>
      <c r="AK83" s="77">
        <f t="shared" si="120"/>
        <v>0.61979119999999965</v>
      </c>
      <c r="AL83" s="78">
        <f t="shared" si="112"/>
        <v>28.908998271448581</v>
      </c>
      <c r="AN83" s="19">
        <v>2</v>
      </c>
      <c r="AO83" s="74">
        <f>AO74</f>
        <v>84024103591.541061</v>
      </c>
      <c r="AP83" s="75">
        <f t="shared" ref="AP83:AQ83" si="269">AP74</f>
        <v>1269608749.1978986</v>
      </c>
      <c r="AQ83" s="75">
        <f t="shared" si="269"/>
        <v>19183856.859403949</v>
      </c>
      <c r="AR83" s="75">
        <f>AR65</f>
        <v>289869.11458715476</v>
      </c>
      <c r="AS83" s="85">
        <f>AR74</f>
        <v>0.34104000000000001</v>
      </c>
      <c r="AT83" s="75">
        <f>AT74</f>
        <v>66.181100000000001</v>
      </c>
      <c r="AU83" s="76">
        <f>AU74</f>
        <v>1</v>
      </c>
      <c r="AV83" s="19">
        <f>IF($B$4=7,MDETERM(AO83:AU89),IF($B$4=6,MDETERM(AP83:AU88),IF($B$4=5,MDETERM(AQ83:AU87),IF($B$4=4,MDETERM(AR83:AU86),IF($B$4=3,MDETERM(AS83:AU85),"ERRO")))))</f>
        <v>1.8894314803786129E+24</v>
      </c>
      <c r="AW83" s="19">
        <v>27</v>
      </c>
      <c r="AX83" s="77">
        <f t="shared" si="122"/>
        <v>41.60668399999998</v>
      </c>
      <c r="AY83" s="78">
        <f t="shared" si="102"/>
        <v>0.52490698688736326</v>
      </c>
      <c r="AZ83" s="19">
        <f t="shared" si="123"/>
        <v>-3.5493814325482376E-3</v>
      </c>
      <c r="BA83" s="19">
        <v>2</v>
      </c>
      <c r="BB83" s="74">
        <f>BB74</f>
        <v>729</v>
      </c>
      <c r="BC83" s="75">
        <f t="shared" ref="BC83:BD83" si="270">BC74</f>
        <v>243</v>
      </c>
      <c r="BD83" s="75">
        <f t="shared" si="270"/>
        <v>81</v>
      </c>
      <c r="BE83" s="75">
        <f>BE65</f>
        <v>27</v>
      </c>
      <c r="BF83" s="85">
        <f>BE74</f>
        <v>8.5639466444108105</v>
      </c>
      <c r="BG83" s="75">
        <f>BG74</f>
        <v>3</v>
      </c>
      <c r="BH83" s="76">
        <f>BH74</f>
        <v>1</v>
      </c>
      <c r="BI83" s="19">
        <f>IF($B$4=7,MDETERM(BB83:BH89),IF($B$4=6,MDETERM(BC83:BH88),IF($B$4=5,MDETERM(BD83:BH87),IF($B$4=4,MDETERM(BE83:BH86),IF($B$4=3,MDETERM(BF83:BH85),"ERRO")))))</f>
        <v>13679181290.551733</v>
      </c>
      <c r="BJ83" s="19">
        <v>27</v>
      </c>
      <c r="BK83" s="77">
        <f t="shared" si="125"/>
        <v>6.1200000000000028</v>
      </c>
      <c r="BL83" s="78">
        <f t="shared" si="106"/>
        <v>10.658695920075161</v>
      </c>
    </row>
    <row r="84" spans="1:64">
      <c r="A84" s="19">
        <v>3</v>
      </c>
      <c r="B84" s="77">
        <f t="shared" ref="B84:D84" si="271">B75</f>
        <v>6.2119048992555544E-3</v>
      </c>
      <c r="C84" s="19">
        <f t="shared" si="271"/>
        <v>1.448840792829284E-2</v>
      </c>
      <c r="D84" s="19">
        <f t="shared" si="271"/>
        <v>3.3792205080566393E-2</v>
      </c>
      <c r="E84" s="19">
        <f t="shared" ref="E84:E89" si="272">E66</f>
        <v>7.881563867187498E-2</v>
      </c>
      <c r="F84" s="93">
        <f>E75</f>
        <v>4</v>
      </c>
      <c r="G84" s="19">
        <f t="shared" ref="G84:H84" si="273">G75</f>
        <v>0.42874999999999996</v>
      </c>
      <c r="H84" s="78">
        <f t="shared" si="273"/>
        <v>1</v>
      </c>
      <c r="J84" s="19">
        <v>28</v>
      </c>
      <c r="K84" s="77">
        <f t="shared" si="116"/>
        <v>0.63051239999999964</v>
      </c>
      <c r="L84" s="78">
        <f t="shared" si="108"/>
        <v>6.343919915122143</v>
      </c>
      <c r="N84" s="19">
        <v>3</v>
      </c>
      <c r="O84" s="77">
        <f t="shared" ref="O84:Q84" si="274">O75</f>
        <v>4096</v>
      </c>
      <c r="P84" s="19">
        <f t="shared" si="274"/>
        <v>1024</v>
      </c>
      <c r="Q84" s="19">
        <f t="shared" si="274"/>
        <v>256</v>
      </c>
      <c r="R84" s="19">
        <f t="shared" ref="R84:R89" si="275">R66</f>
        <v>64</v>
      </c>
      <c r="S84" s="93">
        <f>R75</f>
        <v>453.21249983708327</v>
      </c>
      <c r="T84" s="19">
        <f t="shared" ref="T84:U84" si="276">T75</f>
        <v>4</v>
      </c>
      <c r="U84" s="78">
        <f t="shared" si="276"/>
        <v>1</v>
      </c>
      <c r="W84" s="19">
        <v>28</v>
      </c>
      <c r="X84" s="77">
        <f t="shared" si="118"/>
        <v>6.2400000000000029</v>
      </c>
      <c r="Y84" s="78">
        <f t="shared" si="110"/>
        <v>312.93079731770376</v>
      </c>
      <c r="AA84" s="19">
        <v>3</v>
      </c>
      <c r="AB84" s="77">
        <f t="shared" ref="AB84:AD84" si="277">AB75</f>
        <v>6.2119048992555544E-3</v>
      </c>
      <c r="AC84" s="19">
        <f t="shared" si="277"/>
        <v>1.448840792829284E-2</v>
      </c>
      <c r="AD84" s="19">
        <f t="shared" si="277"/>
        <v>3.3792205080566393E-2</v>
      </c>
      <c r="AE84" s="19">
        <f t="shared" ref="AE84:AE89" si="278">AE66</f>
        <v>7.881563867187498E-2</v>
      </c>
      <c r="AF84" s="93">
        <f>AE75</f>
        <v>49.947999999999993</v>
      </c>
      <c r="AG84" s="19">
        <f t="shared" ref="AG84:AH84" si="279">AG75</f>
        <v>0.42874999999999996</v>
      </c>
      <c r="AH84" s="78">
        <f t="shared" si="279"/>
        <v>1</v>
      </c>
      <c r="AJ84" s="19">
        <v>28</v>
      </c>
      <c r="AK84" s="77">
        <f t="shared" si="120"/>
        <v>0.63051239999999964</v>
      </c>
      <c r="AL84" s="78">
        <f t="shared" si="112"/>
        <v>28.095626361113318</v>
      </c>
      <c r="AN84" s="19">
        <v>3</v>
      </c>
      <c r="AO84" s="77">
        <f t="shared" ref="AO84:AQ84" si="280">AO75</f>
        <v>15527753148.754057</v>
      </c>
      <c r="AP84" s="19">
        <f t="shared" si="280"/>
        <v>310878376.48662728</v>
      </c>
      <c r="AQ84" s="19">
        <f t="shared" si="280"/>
        <v>6224040.5318857078</v>
      </c>
      <c r="AR84" s="19">
        <f t="shared" ref="AR84:AR89" si="281">AR66</f>
        <v>124610.40545939194</v>
      </c>
      <c r="AS84" s="93">
        <f>AR75</f>
        <v>0.42874999999999996</v>
      </c>
      <c r="AT84" s="19">
        <f t="shared" ref="AT84:AU84" si="282">AT75</f>
        <v>49.947999999999993</v>
      </c>
      <c r="AU84" s="78">
        <f t="shared" si="282"/>
        <v>1</v>
      </c>
      <c r="AW84" s="19">
        <v>28</v>
      </c>
      <c r="AX84" s="77">
        <f t="shared" si="122"/>
        <v>42.630617999999977</v>
      </c>
      <c r="AY84" s="78">
        <f t="shared" si="102"/>
        <v>0.52063073263413684</v>
      </c>
      <c r="AZ84" s="19">
        <f t="shared" si="123"/>
        <v>-4.2762542532264192E-3</v>
      </c>
      <c r="BA84" s="19">
        <v>3</v>
      </c>
      <c r="BB84" s="77">
        <f t="shared" ref="BB84:BD84" si="283">BB75</f>
        <v>4096</v>
      </c>
      <c r="BC84" s="19">
        <f t="shared" si="283"/>
        <v>1024</v>
      </c>
      <c r="BD84" s="19">
        <f t="shared" si="283"/>
        <v>256</v>
      </c>
      <c r="BE84" s="19">
        <f t="shared" ref="BE84:BE89" si="284">BE66</f>
        <v>64</v>
      </c>
      <c r="BF84" s="93">
        <f>BE75</f>
        <v>9.073686630837738</v>
      </c>
      <c r="BG84" s="19">
        <f t="shared" ref="BG84:BH84" si="285">BG75</f>
        <v>4</v>
      </c>
      <c r="BH84" s="78">
        <f t="shared" si="285"/>
        <v>1</v>
      </c>
      <c r="BJ84" s="19">
        <v>28</v>
      </c>
      <c r="BK84" s="77">
        <f t="shared" si="125"/>
        <v>6.2400000000000029</v>
      </c>
      <c r="BL84" s="78">
        <f t="shared" si="106"/>
        <v>10.786270758660294</v>
      </c>
    </row>
    <row r="85" spans="1:64">
      <c r="A85" s="19">
        <v>4</v>
      </c>
      <c r="B85" s="77">
        <f t="shared" ref="B85:D85" si="286">B76</f>
        <v>1.6720708047084056E-2</v>
      </c>
      <c r="C85" s="19">
        <f t="shared" si="286"/>
        <v>3.3065788734148199E-2</v>
      </c>
      <c r="D85" s="19">
        <f t="shared" si="286"/>
        <v>6.5388761141726398E-2</v>
      </c>
      <c r="E85" s="19">
        <f t="shared" si="272"/>
        <v>0.12930857685043193</v>
      </c>
      <c r="F85" s="93">
        <f t="shared" ref="F85:F89" si="287">E76</f>
        <v>5</v>
      </c>
      <c r="G85" s="19">
        <f t="shared" ref="G85:H85" si="288">G76</f>
        <v>0.50567999999999991</v>
      </c>
      <c r="H85" s="78">
        <f t="shared" si="288"/>
        <v>1</v>
      </c>
      <c r="J85" s="19">
        <v>29</v>
      </c>
      <c r="K85" s="77">
        <f t="shared" si="116"/>
        <v>0.64123359999999963</v>
      </c>
      <c r="L85" s="78">
        <f t="shared" si="108"/>
        <v>6.4713920118063299</v>
      </c>
      <c r="N85" s="19">
        <v>4</v>
      </c>
      <c r="O85" s="77">
        <f t="shared" ref="O85:Q85" si="289">O76</f>
        <v>15625</v>
      </c>
      <c r="P85" s="19">
        <f t="shared" si="289"/>
        <v>3125</v>
      </c>
      <c r="Q85" s="19">
        <f t="shared" si="289"/>
        <v>625</v>
      </c>
      <c r="R85" s="19">
        <f t="shared" si="275"/>
        <v>125</v>
      </c>
      <c r="S85" s="93">
        <f t="shared" ref="S85:S89" si="290">R76</f>
        <v>378.18911451079146</v>
      </c>
      <c r="T85" s="19">
        <f t="shared" ref="T85:U85" si="291">T76</f>
        <v>5</v>
      </c>
      <c r="U85" s="78">
        <f t="shared" si="291"/>
        <v>1</v>
      </c>
      <c r="W85" s="19">
        <v>29</v>
      </c>
      <c r="X85" s="77">
        <f t="shared" si="118"/>
        <v>6.360000000000003</v>
      </c>
      <c r="Y85" s="78">
        <f t="shared" si="110"/>
        <v>307.81801013825861</v>
      </c>
      <c r="AA85" s="19">
        <v>4</v>
      </c>
      <c r="AB85" s="77">
        <f t="shared" ref="AB85:AD85" si="292">AB76</f>
        <v>1.6720708047084056E-2</v>
      </c>
      <c r="AC85" s="19">
        <f t="shared" si="292"/>
        <v>3.3065788734148199E-2</v>
      </c>
      <c r="AD85" s="19">
        <f t="shared" si="292"/>
        <v>6.5388761141726398E-2</v>
      </c>
      <c r="AE85" s="19">
        <f t="shared" si="278"/>
        <v>0.12930857685043193</v>
      </c>
      <c r="AF85" s="93">
        <f t="shared" ref="AF85:AF89" si="293">AE76</f>
        <v>44.953199999999995</v>
      </c>
      <c r="AG85" s="19">
        <f t="shared" ref="AG85:AH85" si="294">AG76</f>
        <v>0.50567999999999991</v>
      </c>
      <c r="AH85" s="78">
        <f t="shared" si="294"/>
        <v>1</v>
      </c>
      <c r="AJ85" s="19">
        <v>29</v>
      </c>
      <c r="AK85" s="77">
        <f t="shared" si="120"/>
        <v>0.64123359999999963</v>
      </c>
      <c r="AL85" s="78">
        <f t="shared" si="112"/>
        <v>27.456511865222637</v>
      </c>
      <c r="AN85" s="19">
        <v>4</v>
      </c>
      <c r="AO85" s="77">
        <f t="shared" ref="AO85:AQ85" si="295">AO76</f>
        <v>8252084661.1270084</v>
      </c>
      <c r="AP85" s="19">
        <f t="shared" si="295"/>
        <v>183570572.53158861</v>
      </c>
      <c r="AQ85" s="19">
        <f t="shared" si="295"/>
        <v>4083592.9929702142</v>
      </c>
      <c r="AR85" s="19">
        <f t="shared" si="281"/>
        <v>90840.985579896747</v>
      </c>
      <c r="AS85" s="93">
        <f t="shared" ref="AS85:AS89" si="296">AR76</f>
        <v>0.50567999999999991</v>
      </c>
      <c r="AT85" s="19">
        <f t="shared" ref="AT85:AU85" si="297">AT76</f>
        <v>44.953199999999995</v>
      </c>
      <c r="AU85" s="78">
        <f t="shared" si="297"/>
        <v>1</v>
      </c>
      <c r="AW85" s="19">
        <v>29</v>
      </c>
      <c r="AX85" s="77">
        <f t="shared" si="122"/>
        <v>43.654551999999974</v>
      </c>
      <c r="AY85" s="78">
        <f t="shared" si="102"/>
        <v>0.51514150760630684</v>
      </c>
      <c r="AZ85" s="19">
        <f t="shared" si="123"/>
        <v>-5.4892250278300025E-3</v>
      </c>
      <c r="BA85" s="19">
        <v>4</v>
      </c>
      <c r="BB85" s="77">
        <f t="shared" ref="BB85:BD85" si="298">BB76</f>
        <v>15625</v>
      </c>
      <c r="BC85" s="19">
        <f t="shared" si="298"/>
        <v>3125</v>
      </c>
      <c r="BD85" s="19">
        <f t="shared" si="298"/>
        <v>625</v>
      </c>
      <c r="BE85" s="19">
        <f t="shared" si="284"/>
        <v>125</v>
      </c>
      <c r="BF85" s="93">
        <f t="shared" ref="BF85:BF89" si="299">BE76</f>
        <v>8.4129520147796271</v>
      </c>
      <c r="BG85" s="19">
        <f t="shared" ref="BG85:BH85" si="300">BG76</f>
        <v>5</v>
      </c>
      <c r="BH85" s="78">
        <f t="shared" si="300"/>
        <v>1</v>
      </c>
      <c r="BJ85" s="19">
        <v>29</v>
      </c>
      <c r="BK85" s="77">
        <f t="shared" si="125"/>
        <v>6.360000000000003</v>
      </c>
      <c r="BL85" s="78">
        <f t="shared" si="106"/>
        <v>10.873514590030254</v>
      </c>
    </row>
    <row r="86" spans="1:64">
      <c r="A86" s="19">
        <v>5</v>
      </c>
      <c r="B86" s="77">
        <f t="shared" ref="B86:D86" si="301">B77</f>
        <v>4.6772761567521089E-2</v>
      </c>
      <c r="C86" s="19">
        <f t="shared" si="301"/>
        <v>7.7922135056261707E-2</v>
      </c>
      <c r="D86" s="19">
        <f t="shared" si="301"/>
        <v>0.12981613503750389</v>
      </c>
      <c r="E86" s="19">
        <f t="shared" si="272"/>
        <v>0.21627011251562495</v>
      </c>
      <c r="F86" s="93">
        <f t="shared" si="287"/>
        <v>6</v>
      </c>
      <c r="G86" s="19">
        <f t="shared" ref="G86:H86" si="302">G77</f>
        <v>0.60024999999999995</v>
      </c>
      <c r="H86" s="78">
        <f t="shared" si="302"/>
        <v>1</v>
      </c>
      <c r="J86" s="19">
        <v>30</v>
      </c>
      <c r="K86" s="77">
        <f t="shared" si="116"/>
        <v>0.65195479999999961</v>
      </c>
      <c r="L86" s="78">
        <f t="shared" si="108"/>
        <v>6.6014156118169751</v>
      </c>
      <c r="N86" s="19">
        <v>5</v>
      </c>
      <c r="O86" s="77">
        <f t="shared" ref="O86:Q86" si="303">O77</f>
        <v>46656</v>
      </c>
      <c r="P86" s="19">
        <f t="shared" si="303"/>
        <v>7776</v>
      </c>
      <c r="Q86" s="19">
        <f t="shared" si="303"/>
        <v>1296</v>
      </c>
      <c r="R86" s="19">
        <f t="shared" si="275"/>
        <v>216</v>
      </c>
      <c r="S86" s="93">
        <f t="shared" si="290"/>
        <v>323.72321416934517</v>
      </c>
      <c r="T86" s="19">
        <f t="shared" ref="T86:U86" si="304">T77</f>
        <v>6</v>
      </c>
      <c r="U86" s="78">
        <f t="shared" si="304"/>
        <v>1</v>
      </c>
      <c r="W86" s="19">
        <v>30</v>
      </c>
      <c r="X86" s="77">
        <f t="shared" si="118"/>
        <v>6.4800000000000031</v>
      </c>
      <c r="Y86" s="78">
        <f t="shared" si="110"/>
        <v>302.8826803299462</v>
      </c>
      <c r="AA86" s="19">
        <v>5</v>
      </c>
      <c r="AB86" s="77">
        <f t="shared" ref="AB86:AD86" si="305">AB77</f>
        <v>4.6772761567521089E-2</v>
      </c>
      <c r="AC86" s="19">
        <f t="shared" si="305"/>
        <v>7.7922135056261707E-2</v>
      </c>
      <c r="AD86" s="19">
        <f t="shared" si="305"/>
        <v>0.12981613503750389</v>
      </c>
      <c r="AE86" s="19">
        <f t="shared" si="278"/>
        <v>0.21627011251562495</v>
      </c>
      <c r="AF86" s="93">
        <f t="shared" si="293"/>
        <v>30.855377000000001</v>
      </c>
      <c r="AG86" s="19">
        <f t="shared" ref="AG86:AH86" si="306">AG77</f>
        <v>0.60024999999999995</v>
      </c>
      <c r="AH86" s="78">
        <f t="shared" si="306"/>
        <v>1</v>
      </c>
      <c r="AJ86" s="19">
        <v>30</v>
      </c>
      <c r="AK86" s="77">
        <f t="shared" si="120"/>
        <v>0.65195479999999961</v>
      </c>
      <c r="AL86" s="78">
        <f t="shared" si="112"/>
        <v>26.976422390534935</v>
      </c>
      <c r="AN86" s="19">
        <v>5</v>
      </c>
      <c r="AO86" s="77">
        <f t="shared" ref="AO86:AQ86" si="307">AO77</f>
        <v>862949025.63956308</v>
      </c>
      <c r="AP86" s="19">
        <f t="shared" si="307"/>
        <v>27967541.140060067</v>
      </c>
      <c r="AQ86" s="19">
        <f t="shared" si="307"/>
        <v>906407.3707496773</v>
      </c>
      <c r="AR86" s="19">
        <f t="shared" si="281"/>
        <v>29375.994036620501</v>
      </c>
      <c r="AS86" s="93">
        <f t="shared" si="296"/>
        <v>0.60024999999999995</v>
      </c>
      <c r="AT86" s="19">
        <f t="shared" ref="AT86:AU86" si="308">AT77</f>
        <v>30.855377000000001</v>
      </c>
      <c r="AU86" s="78">
        <f t="shared" si="308"/>
        <v>1</v>
      </c>
      <c r="AW86" s="19">
        <v>30</v>
      </c>
      <c r="AX86" s="77">
        <f t="shared" si="122"/>
        <v>44.678485999999971</v>
      </c>
      <c r="AY86" s="78">
        <f t="shared" si="102"/>
        <v>0.50795648216439448</v>
      </c>
      <c r="AZ86" s="19">
        <f t="shared" si="123"/>
        <v>-7.1850254419123516E-3</v>
      </c>
      <c r="BA86" s="19">
        <v>5</v>
      </c>
      <c r="BB86" s="77">
        <f t="shared" ref="BB86:BD86" si="309">BB77</f>
        <v>46656</v>
      </c>
      <c r="BC86" s="19">
        <f t="shared" si="309"/>
        <v>7776</v>
      </c>
      <c r="BD86" s="19">
        <f t="shared" si="309"/>
        <v>1296</v>
      </c>
      <c r="BE86" s="19">
        <f t="shared" si="284"/>
        <v>216</v>
      </c>
      <c r="BF86" s="93">
        <f t="shared" si="299"/>
        <v>10.491630491805211</v>
      </c>
      <c r="BG86" s="19">
        <f t="shared" ref="BG86:BH86" si="310">BG77</f>
        <v>6</v>
      </c>
      <c r="BH86" s="78">
        <f t="shared" si="310"/>
        <v>1</v>
      </c>
      <c r="BJ86" s="19">
        <v>30</v>
      </c>
      <c r="BK86" s="77">
        <f t="shared" si="125"/>
        <v>6.4800000000000031</v>
      </c>
      <c r="BL86" s="78">
        <f t="shared" si="106"/>
        <v>10.921764216821657</v>
      </c>
    </row>
    <row r="87" spans="1:64">
      <c r="A87" s="19">
        <v>6</v>
      </c>
      <c r="B87" s="77">
        <f t="shared" ref="B87:D87" si="311">B78</f>
        <v>0.10244458085321199</v>
      </c>
      <c r="C87" s="19">
        <f t="shared" si="311"/>
        <v>0.14976402089528679</v>
      </c>
      <c r="D87" s="19">
        <f t="shared" si="311"/>
        <v>0.21894044338823282</v>
      </c>
      <c r="E87" s="19">
        <f t="shared" si="272"/>
        <v>0.32006965000326415</v>
      </c>
      <c r="F87" s="93">
        <f t="shared" si="287"/>
        <v>7</v>
      </c>
      <c r="G87" s="19">
        <f t="shared" ref="G87:H87" si="312">G78</f>
        <v>0.68404000000000009</v>
      </c>
      <c r="H87" s="78">
        <f t="shared" si="312"/>
        <v>1</v>
      </c>
      <c r="J87" s="19">
        <v>31</v>
      </c>
      <c r="K87" s="77">
        <f t="shared" si="116"/>
        <v>0.6626759999999996</v>
      </c>
      <c r="L87" s="78">
        <f t="shared" si="108"/>
        <v>6.7334859898928983</v>
      </c>
      <c r="N87" s="19">
        <v>6</v>
      </c>
      <c r="O87" s="77">
        <f t="shared" ref="O87:Q87" si="313">O78</f>
        <v>117649</v>
      </c>
      <c r="P87" s="19">
        <f t="shared" si="313"/>
        <v>16807</v>
      </c>
      <c r="Q87" s="19">
        <f t="shared" si="313"/>
        <v>2401</v>
      </c>
      <c r="R87" s="19">
        <f t="shared" si="275"/>
        <v>343</v>
      </c>
      <c r="S87" s="93">
        <f t="shared" si="290"/>
        <v>283.32174408346413</v>
      </c>
      <c r="T87" s="19">
        <f t="shared" ref="T87:U87" si="314">T78</f>
        <v>7</v>
      </c>
      <c r="U87" s="78">
        <f t="shared" si="314"/>
        <v>1</v>
      </c>
      <c r="W87" s="19">
        <v>31</v>
      </c>
      <c r="X87" s="77">
        <f t="shared" si="118"/>
        <v>6.6000000000000032</v>
      </c>
      <c r="Y87" s="78">
        <f t="shared" si="110"/>
        <v>298.11581564408152</v>
      </c>
      <c r="AA87" s="19">
        <v>6</v>
      </c>
      <c r="AB87" s="77">
        <f t="shared" ref="AB87:AD87" si="315">AB78</f>
        <v>0.10244458085321199</v>
      </c>
      <c r="AC87" s="19">
        <f t="shared" si="315"/>
        <v>0.14976402089528679</v>
      </c>
      <c r="AD87" s="19">
        <f t="shared" si="315"/>
        <v>0.21894044338823282</v>
      </c>
      <c r="AE87" s="19">
        <f t="shared" si="278"/>
        <v>0.32006965000326415</v>
      </c>
      <c r="AF87" s="93">
        <f t="shared" si="293"/>
        <v>26.2227</v>
      </c>
      <c r="AG87" s="19">
        <f t="shared" ref="AG87:AH87" si="316">AG78</f>
        <v>0.68404000000000009</v>
      </c>
      <c r="AH87" s="78">
        <f t="shared" si="316"/>
        <v>1</v>
      </c>
      <c r="AJ87" s="19">
        <v>31</v>
      </c>
      <c r="AK87" s="77">
        <f t="shared" si="120"/>
        <v>0.6626759999999996</v>
      </c>
      <c r="AL87" s="78">
        <f t="shared" si="112"/>
        <v>26.632016793284492</v>
      </c>
      <c r="AN87" s="19">
        <v>6</v>
      </c>
      <c r="AO87" s="77">
        <f t="shared" ref="AO87:AQ87" si="317">AO78</f>
        <v>325135535.98978829</v>
      </c>
      <c r="AP87" s="19">
        <f t="shared" si="317"/>
        <v>12399010.627806759</v>
      </c>
      <c r="AQ87" s="19">
        <f t="shared" si="317"/>
        <v>472835.01042252546</v>
      </c>
      <c r="AR87" s="19">
        <f t="shared" si="281"/>
        <v>18031.515077491084</v>
      </c>
      <c r="AS87" s="93">
        <f t="shared" si="296"/>
        <v>0.68404000000000009</v>
      </c>
      <c r="AT87" s="19">
        <f t="shared" ref="AT87:AU87" si="318">AT78</f>
        <v>26.2227</v>
      </c>
      <c r="AU87" s="78">
        <f t="shared" si="318"/>
        <v>1</v>
      </c>
      <c r="AW87" s="19">
        <v>31</v>
      </c>
      <c r="AX87" s="77">
        <f t="shared" si="122"/>
        <v>45.702419999999968</v>
      </c>
      <c r="AY87" s="78">
        <f t="shared" si="102"/>
        <v>0.49861294556337987</v>
      </c>
      <c r="AZ87" s="19">
        <f t="shared" si="123"/>
        <v>-9.3435366010146126E-3</v>
      </c>
      <c r="BA87" s="19">
        <v>6</v>
      </c>
      <c r="BB87" s="77">
        <f t="shared" ref="BB87:BD87" si="319">BB78</f>
        <v>117649</v>
      </c>
      <c r="BC87" s="19">
        <f t="shared" si="319"/>
        <v>16807</v>
      </c>
      <c r="BD87" s="19">
        <f t="shared" si="319"/>
        <v>2401</v>
      </c>
      <c r="BE87" s="19">
        <f t="shared" si="284"/>
        <v>343</v>
      </c>
      <c r="BF87" s="93">
        <f t="shared" si="299"/>
        <v>10.804445922176745</v>
      </c>
      <c r="BG87" s="19">
        <f t="shared" ref="BG87:BH87" si="320">BG78</f>
        <v>7</v>
      </c>
      <c r="BH87" s="78">
        <f t="shared" si="320"/>
        <v>1</v>
      </c>
      <c r="BJ87" s="19">
        <v>31</v>
      </c>
      <c r="BK87" s="77">
        <f t="shared" si="125"/>
        <v>6.6000000000000032</v>
      </c>
      <c r="BL87" s="78">
        <f t="shared" si="106"/>
        <v>10.934490706855513</v>
      </c>
    </row>
    <row r="88" spans="1:64">
      <c r="A88" s="19">
        <v>7</v>
      </c>
      <c r="B88" s="77">
        <f t="shared" ref="B88:D88" si="321">B79</f>
        <v>0.2112807009001775</v>
      </c>
      <c r="C88" s="19">
        <f t="shared" si="321"/>
        <v>0.27376831992248463</v>
      </c>
      <c r="D88" s="19">
        <f t="shared" si="321"/>
        <v>0.35473705205375394</v>
      </c>
      <c r="E88" s="19">
        <f t="shared" si="272"/>
        <v>0.45965280473437503</v>
      </c>
      <c r="F88" s="93">
        <f t="shared" si="287"/>
        <v>8</v>
      </c>
      <c r="G88" s="19">
        <f t="shared" ref="G88:H88" si="322">G79</f>
        <v>0.77175000000000005</v>
      </c>
      <c r="H88" s="78">
        <f t="shared" si="322"/>
        <v>1</v>
      </c>
      <c r="J88" s="19">
        <v>32</v>
      </c>
      <c r="K88" s="77">
        <f t="shared" si="116"/>
        <v>0.67339719999999958</v>
      </c>
      <c r="L88" s="78">
        <f t="shared" si="108"/>
        <v>6.8669402857656507</v>
      </c>
      <c r="N88" s="19">
        <v>7</v>
      </c>
      <c r="O88" s="77">
        <f t="shared" ref="O88:Q88" si="323">O79</f>
        <v>262144</v>
      </c>
      <c r="P88" s="19">
        <f t="shared" si="323"/>
        <v>32768</v>
      </c>
      <c r="Q88" s="19">
        <f t="shared" si="323"/>
        <v>4096</v>
      </c>
      <c r="R88" s="19">
        <f t="shared" si="275"/>
        <v>512</v>
      </c>
      <c r="S88" s="93">
        <f t="shared" si="290"/>
        <v>251.7847221317129</v>
      </c>
      <c r="T88" s="19">
        <f t="shared" ref="T88:U88" si="324">T79</f>
        <v>8</v>
      </c>
      <c r="U88" s="78">
        <f t="shared" si="324"/>
        <v>1</v>
      </c>
      <c r="W88" s="19">
        <v>32</v>
      </c>
      <c r="X88" s="77">
        <f t="shared" si="118"/>
        <v>6.7200000000000033</v>
      </c>
      <c r="Y88" s="78">
        <f t="shared" si="110"/>
        <v>293.50812035354193</v>
      </c>
      <c r="AA88" s="19">
        <v>7</v>
      </c>
      <c r="AB88" s="77">
        <f t="shared" ref="AB88:AD88" si="325">AB79</f>
        <v>0.2112807009001775</v>
      </c>
      <c r="AC88" s="19">
        <f t="shared" si="325"/>
        <v>0.27376831992248463</v>
      </c>
      <c r="AD88" s="19">
        <f t="shared" si="325"/>
        <v>0.35473705205375394</v>
      </c>
      <c r="AE88" s="19">
        <f t="shared" si="278"/>
        <v>0.45965280473437503</v>
      </c>
      <c r="AF88" s="93">
        <f t="shared" si="293"/>
        <v>22.039554999999996</v>
      </c>
      <c r="AG88" s="19">
        <f t="shared" ref="AG88:AH88" si="326">AG79</f>
        <v>0.77175000000000005</v>
      </c>
      <c r="AH88" s="78">
        <f t="shared" si="326"/>
        <v>1</v>
      </c>
      <c r="AJ88" s="19">
        <v>32</v>
      </c>
      <c r="AK88" s="77">
        <f t="shared" si="120"/>
        <v>0.67339719999999958</v>
      </c>
      <c r="AL88" s="78">
        <f t="shared" si="112"/>
        <v>26.392671442152277</v>
      </c>
      <c r="AN88" s="19">
        <v>7</v>
      </c>
      <c r="AO88" s="77">
        <f t="shared" ref="AO88:AQ88" si="327">AO79</f>
        <v>114608526.42706832</v>
      </c>
      <c r="AP88" s="19">
        <f t="shared" si="327"/>
        <v>5200128.8786034174</v>
      </c>
      <c r="AQ88" s="19">
        <f t="shared" si="327"/>
        <v>235945.2756012278</v>
      </c>
      <c r="AR88" s="19">
        <f t="shared" si="281"/>
        <v>10705.53718535732</v>
      </c>
      <c r="AS88" s="93">
        <f t="shared" si="296"/>
        <v>0.77175000000000005</v>
      </c>
      <c r="AT88" s="19">
        <f t="shared" ref="AT88:AU88" si="328">AT79</f>
        <v>22.039554999999996</v>
      </c>
      <c r="AU88" s="78">
        <f t="shared" si="328"/>
        <v>1</v>
      </c>
      <c r="AW88" s="19">
        <v>32</v>
      </c>
      <c r="AX88" s="77">
        <f t="shared" si="122"/>
        <v>46.726353999999965</v>
      </c>
      <c r="AY88" s="78">
        <f t="shared" si="102"/>
        <v>0.48668685495042729</v>
      </c>
      <c r="AZ88" s="19">
        <f t="shared" si="123"/>
        <v>-1.1926090612952578E-2</v>
      </c>
      <c r="BA88" s="19">
        <v>7</v>
      </c>
      <c r="BB88" s="77">
        <f t="shared" ref="BB88:BD88" si="329">BB79</f>
        <v>262144</v>
      </c>
      <c r="BC88" s="19">
        <f t="shared" si="329"/>
        <v>32768</v>
      </c>
      <c r="BD88" s="19">
        <f t="shared" si="329"/>
        <v>4096</v>
      </c>
      <c r="BE88" s="19">
        <f t="shared" si="284"/>
        <v>512</v>
      </c>
      <c r="BF88" s="93">
        <f t="shared" si="299"/>
        <v>11.424219868854564</v>
      </c>
      <c r="BG88" s="19">
        <f t="shared" ref="BG88:BH88" si="330">BG79</f>
        <v>8</v>
      </c>
      <c r="BH88" s="78">
        <f t="shared" si="330"/>
        <v>1</v>
      </c>
      <c r="BJ88" s="19">
        <v>32</v>
      </c>
      <c r="BK88" s="77">
        <f t="shared" si="125"/>
        <v>6.7200000000000033</v>
      </c>
      <c r="BL88" s="78">
        <f t="shared" si="106"/>
        <v>10.917194029056418</v>
      </c>
    </row>
    <row r="89" spans="1:64">
      <c r="A89" s="19">
        <v>8</v>
      </c>
      <c r="B89" s="79">
        <f t="shared" ref="B89:D89" si="331">B80</f>
        <v>0.45529687141342695</v>
      </c>
      <c r="C89" s="80">
        <f t="shared" si="331"/>
        <v>0.51909345731778245</v>
      </c>
      <c r="D89" s="80">
        <f t="shared" si="331"/>
        <v>0.59182927524544804</v>
      </c>
      <c r="E89" s="80">
        <f t="shared" si="272"/>
        <v>0.67475689801099992</v>
      </c>
      <c r="F89" s="86">
        <f t="shared" si="287"/>
        <v>9</v>
      </c>
      <c r="G89" s="80">
        <f t="shared" ref="G89:H89" si="332">G80</f>
        <v>0.87709999999999999</v>
      </c>
      <c r="H89" s="81">
        <f t="shared" si="332"/>
        <v>1</v>
      </c>
      <c r="J89" s="19">
        <v>33</v>
      </c>
      <c r="K89" s="77">
        <f t="shared" si="116"/>
        <v>0.68411839999999957</v>
      </c>
      <c r="L89" s="78">
        <f t="shared" si="108"/>
        <v>7.0009801772487492</v>
      </c>
      <c r="N89" s="19">
        <v>8</v>
      </c>
      <c r="O89" s="79">
        <f t="shared" ref="O89:Q89" si="333">O80</f>
        <v>531441</v>
      </c>
      <c r="P89" s="80">
        <f t="shared" si="333"/>
        <v>59049</v>
      </c>
      <c r="Q89" s="80">
        <f t="shared" si="333"/>
        <v>6561</v>
      </c>
      <c r="R89" s="80">
        <f t="shared" si="275"/>
        <v>729</v>
      </c>
      <c r="S89" s="86">
        <f t="shared" si="290"/>
        <v>226.19791658535507</v>
      </c>
      <c r="T89" s="80">
        <f t="shared" ref="T89:U89" si="334">T80</f>
        <v>9</v>
      </c>
      <c r="U89" s="81">
        <f t="shared" si="334"/>
        <v>1</v>
      </c>
      <c r="W89" s="19">
        <v>33</v>
      </c>
      <c r="X89" s="77">
        <f t="shared" si="118"/>
        <v>6.8400000000000034</v>
      </c>
      <c r="Y89" s="78">
        <f t="shared" si="110"/>
        <v>289.0500310861471</v>
      </c>
      <c r="AA89" s="19">
        <v>8</v>
      </c>
      <c r="AB89" s="79">
        <f t="shared" ref="AB89:AD89" si="335">AB80</f>
        <v>0.45529687141342695</v>
      </c>
      <c r="AC89" s="80">
        <f t="shared" si="335"/>
        <v>0.51909345731778245</v>
      </c>
      <c r="AD89" s="80">
        <f t="shared" si="335"/>
        <v>0.59182927524544804</v>
      </c>
      <c r="AE89" s="80">
        <f t="shared" si="278"/>
        <v>0.67475689801099992</v>
      </c>
      <c r="AF89" s="86">
        <f t="shared" si="293"/>
        <v>14.984399999999999</v>
      </c>
      <c r="AG89" s="80">
        <f t="shared" ref="AG89:AH89" si="336">AG80</f>
        <v>0.87709999999999999</v>
      </c>
      <c r="AH89" s="81">
        <f t="shared" si="336"/>
        <v>1</v>
      </c>
      <c r="AJ89" s="19">
        <v>33</v>
      </c>
      <c r="AK89" s="77">
        <f t="shared" si="120"/>
        <v>0.68411839999999957</v>
      </c>
      <c r="AL89" s="78">
        <f t="shared" si="112"/>
        <v>26.221599029899153</v>
      </c>
      <c r="AN89" s="19">
        <v>8</v>
      </c>
      <c r="AO89" s="79">
        <f t="shared" ref="AO89:AQ89" si="337">AO80</f>
        <v>11319732.045441713</v>
      </c>
      <c r="AP89" s="80">
        <f t="shared" si="337"/>
        <v>755434.45486250462</v>
      </c>
      <c r="AQ89" s="80">
        <f t="shared" si="337"/>
        <v>50414.728308274251</v>
      </c>
      <c r="AR89" s="80">
        <f t="shared" si="281"/>
        <v>3364.4809474035833</v>
      </c>
      <c r="AS89" s="86">
        <f t="shared" si="296"/>
        <v>0.87709999999999999</v>
      </c>
      <c r="AT89" s="80">
        <f t="shared" ref="AT89:AU89" si="338">AT80</f>
        <v>14.984399999999999</v>
      </c>
      <c r="AU89" s="81">
        <f t="shared" si="338"/>
        <v>1</v>
      </c>
      <c r="AW89" s="19">
        <v>33</v>
      </c>
      <c r="AX89" s="77">
        <f t="shared" si="122"/>
        <v>47.750287999999962</v>
      </c>
      <c r="AY89" s="78">
        <f t="shared" si="102"/>
        <v>0.4718130827807856</v>
      </c>
      <c r="AZ89" s="19">
        <f t="shared" si="123"/>
        <v>-1.4873772169641697E-2</v>
      </c>
      <c r="BA89" s="19">
        <v>8</v>
      </c>
      <c r="BB89" s="79">
        <f t="shared" ref="BB89:BD89" si="339">BB80</f>
        <v>531441</v>
      </c>
      <c r="BC89" s="80">
        <f t="shared" si="339"/>
        <v>59049</v>
      </c>
      <c r="BD89" s="80">
        <f t="shared" si="339"/>
        <v>6561</v>
      </c>
      <c r="BE89" s="80">
        <f t="shared" si="284"/>
        <v>729</v>
      </c>
      <c r="BF89" s="86">
        <f t="shared" si="299"/>
        <v>15.095560488598482</v>
      </c>
      <c r="BG89" s="80">
        <f t="shared" ref="BG89:BH89" si="340">BG80</f>
        <v>9</v>
      </c>
      <c r="BH89" s="81">
        <f t="shared" si="340"/>
        <v>1</v>
      </c>
      <c r="BJ89" s="19">
        <v>33</v>
      </c>
      <c r="BK89" s="77">
        <f t="shared" si="125"/>
        <v>6.8400000000000034</v>
      </c>
      <c r="BL89" s="78">
        <f t="shared" si="106"/>
        <v>10.877235283557866</v>
      </c>
    </row>
    <row r="90" spans="1:64">
      <c r="J90" s="19">
        <v>34</v>
      </c>
      <c r="K90" s="77">
        <f t="shared" si="116"/>
        <v>0.69483959999999956</v>
      </c>
      <c r="L90" s="78">
        <f t="shared" si="108"/>
        <v>7.1347005952825668</v>
      </c>
      <c r="W90" s="19">
        <v>34</v>
      </c>
      <c r="X90" s="77">
        <f t="shared" si="118"/>
        <v>6.9600000000000035</v>
      </c>
      <c r="Y90" s="78">
        <f t="shared" si="110"/>
        <v>284.73178605493194</v>
      </c>
      <c r="AJ90" s="19">
        <v>34</v>
      </c>
      <c r="AK90" s="77">
        <f t="shared" si="120"/>
        <v>0.69483959999999956</v>
      </c>
      <c r="AL90" s="78">
        <f t="shared" si="112"/>
        <v>26.077259931507797</v>
      </c>
      <c r="AW90" s="19">
        <v>34</v>
      </c>
      <c r="AX90" s="77">
        <f t="shared" si="122"/>
        <v>48.774221999999959</v>
      </c>
      <c r="AY90" s="78">
        <f t="shared" si="102"/>
        <v>0.45370736265141587</v>
      </c>
      <c r="AZ90" s="19">
        <f t="shared" si="123"/>
        <v>-1.8105720129369729E-2</v>
      </c>
      <c r="BJ90" s="19">
        <v>34</v>
      </c>
      <c r="BK90" s="77">
        <f t="shared" si="125"/>
        <v>6.9600000000000035</v>
      </c>
      <c r="BL90" s="78">
        <f t="shared" si="106"/>
        <v>10.823606526163758</v>
      </c>
    </row>
    <row r="91" spans="1:64">
      <c r="A91" s="19" t="s">
        <v>110</v>
      </c>
      <c r="B91" s="19">
        <v>6</v>
      </c>
      <c r="C91" s="19">
        <v>5</v>
      </c>
      <c r="D91" s="19">
        <v>4</v>
      </c>
      <c r="E91" s="19">
        <v>3</v>
      </c>
      <c r="F91" s="19">
        <v>2</v>
      </c>
      <c r="G91" s="19">
        <v>1</v>
      </c>
      <c r="H91" s="19">
        <v>0</v>
      </c>
      <c r="J91" s="19">
        <v>35</v>
      </c>
      <c r="K91" s="77">
        <f t="shared" si="116"/>
        <v>0.70556079999999954</v>
      </c>
      <c r="L91" s="78">
        <f t="shared" si="108"/>
        <v>7.2671244809569373</v>
      </c>
      <c r="N91" s="19" t="s">
        <v>110</v>
      </c>
      <c r="O91" s="19">
        <v>6</v>
      </c>
      <c r="P91" s="19">
        <v>5</v>
      </c>
      <c r="Q91" s="19">
        <v>4</v>
      </c>
      <c r="R91" s="19">
        <v>3</v>
      </c>
      <c r="S91" s="19">
        <v>2</v>
      </c>
      <c r="T91" s="19">
        <v>1</v>
      </c>
      <c r="U91" s="19">
        <v>0</v>
      </c>
      <c r="W91" s="19">
        <v>35</v>
      </c>
      <c r="X91" s="77">
        <f t="shared" si="118"/>
        <v>7.0800000000000036</v>
      </c>
      <c r="Y91" s="78">
        <f t="shared" si="110"/>
        <v>280.54352768556237</v>
      </c>
      <c r="AA91" s="19" t="s">
        <v>110</v>
      </c>
      <c r="AB91" s="19">
        <v>6</v>
      </c>
      <c r="AC91" s="19">
        <v>5</v>
      </c>
      <c r="AD91" s="19">
        <v>4</v>
      </c>
      <c r="AE91" s="19">
        <v>3</v>
      </c>
      <c r="AF91" s="19">
        <v>2</v>
      </c>
      <c r="AG91" s="19">
        <v>1</v>
      </c>
      <c r="AH91" s="19">
        <v>0</v>
      </c>
      <c r="AJ91" s="19">
        <v>35</v>
      </c>
      <c r="AK91" s="77">
        <f t="shared" si="120"/>
        <v>0.70556079999999954</v>
      </c>
      <c r="AL91" s="78">
        <f t="shared" si="112"/>
        <v>25.915066110128464</v>
      </c>
      <c r="AN91" s="19" t="s">
        <v>110</v>
      </c>
      <c r="AO91" s="19">
        <v>6</v>
      </c>
      <c r="AP91" s="19">
        <v>5</v>
      </c>
      <c r="AQ91" s="19">
        <v>4</v>
      </c>
      <c r="AR91" s="19">
        <v>3</v>
      </c>
      <c r="AS91" s="19">
        <v>2</v>
      </c>
      <c r="AT91" s="19">
        <v>1</v>
      </c>
      <c r="AU91" s="19">
        <v>0</v>
      </c>
      <c r="AW91" s="19">
        <v>35</v>
      </c>
      <c r="AX91" s="77">
        <f t="shared" si="122"/>
        <v>49.798155999999956</v>
      </c>
      <c r="AY91" s="78">
        <f t="shared" si="102"/>
        <v>0.43218993355290869</v>
      </c>
      <c r="AZ91" s="19">
        <f t="shared" si="123"/>
        <v>-2.1517429098507179E-2</v>
      </c>
      <c r="BA91" s="19" t="s">
        <v>110</v>
      </c>
      <c r="BB91" s="19">
        <v>6</v>
      </c>
      <c r="BC91" s="19">
        <v>5</v>
      </c>
      <c r="BD91" s="19">
        <v>4</v>
      </c>
      <c r="BE91" s="19">
        <v>3</v>
      </c>
      <c r="BF91" s="19">
        <v>2</v>
      </c>
      <c r="BG91" s="19">
        <v>1</v>
      </c>
      <c r="BH91" s="19">
        <v>0</v>
      </c>
      <c r="BJ91" s="19">
        <v>35</v>
      </c>
      <c r="BK91" s="77">
        <f t="shared" si="125"/>
        <v>7.0800000000000036</v>
      </c>
      <c r="BL91" s="78">
        <f t="shared" si="106"/>
        <v>10.766638186794125</v>
      </c>
    </row>
    <row r="92" spans="1:64">
      <c r="A92" s="19">
        <v>2</v>
      </c>
      <c r="B92" s="74">
        <f>B83</f>
        <v>1.5733738139927513E-3</v>
      </c>
      <c r="C92" s="75">
        <f t="shared" ref="C92:E92" si="341">C83</f>
        <v>4.6134582863967613E-3</v>
      </c>
      <c r="D92" s="75">
        <f t="shared" si="341"/>
        <v>1.35276163687449E-2</v>
      </c>
      <c r="E92" s="75">
        <f t="shared" si="341"/>
        <v>3.9665776356864003E-2</v>
      </c>
      <c r="F92" s="75">
        <f>F74</f>
        <v>0.11630828160000001</v>
      </c>
      <c r="G92" s="85">
        <f>F83</f>
        <v>3</v>
      </c>
      <c r="H92" s="76">
        <f>H83</f>
        <v>1</v>
      </c>
      <c r="I92" s="19">
        <f>IF($B$4=7,MDETERM(B92:H98),IF($B$4=6,MDETERM(C92:H97),IF($B$4=5,MDETERM(D92:H96),IF($B$4=4,MDETERM(E92:H95),IF($B$4=3,MDETERM(F92:H94),"ERRO")))))</f>
        <v>4.369177054299382E-12</v>
      </c>
      <c r="J92" s="19">
        <v>36</v>
      </c>
      <c r="K92" s="77">
        <f t="shared" si="116"/>
        <v>0.71628199999999953</v>
      </c>
      <c r="L92" s="78">
        <f t="shared" si="108"/>
        <v>7.3972435844989661</v>
      </c>
      <c r="N92" s="19">
        <v>2</v>
      </c>
      <c r="O92" s="74">
        <f>O83</f>
        <v>729</v>
      </c>
      <c r="P92" s="75">
        <f t="shared" ref="P92:R92" si="342">P83</f>
        <v>243</v>
      </c>
      <c r="Q92" s="75">
        <f t="shared" si="342"/>
        <v>81</v>
      </c>
      <c r="R92" s="75">
        <f t="shared" si="342"/>
        <v>27</v>
      </c>
      <c r="S92" s="75">
        <f>S74</f>
        <v>9</v>
      </c>
      <c r="T92" s="85">
        <f>S83</f>
        <v>566.77140926841628</v>
      </c>
      <c r="U92" s="76">
        <f>U83</f>
        <v>1</v>
      </c>
      <c r="V92" s="19">
        <f>IF($B$4=7,MDETERM(O92:U98),IF($B$4=6,MDETERM(P92:U97),IF($B$4=5,MDETERM(Q92:U96),IF($B$4=4,MDETERM(R92:U95),IF($B$4=3,MDETERM(S92:U94),"ERRO")))))</f>
        <v>29069079876.804279</v>
      </c>
      <c r="W92" s="19">
        <v>36</v>
      </c>
      <c r="X92" s="77">
        <f t="shared" si="118"/>
        <v>7.2000000000000037</v>
      </c>
      <c r="Y92" s="78">
        <f t="shared" si="110"/>
        <v>276.4754386405948</v>
      </c>
      <c r="AA92" s="19">
        <v>2</v>
      </c>
      <c r="AB92" s="74">
        <f>AB83</f>
        <v>1.5733738139927513E-3</v>
      </c>
      <c r="AC92" s="75">
        <f t="shared" ref="AC92:AE92" si="343">AC83</f>
        <v>4.6134582863967613E-3</v>
      </c>
      <c r="AD92" s="75">
        <f t="shared" si="343"/>
        <v>1.35276163687449E-2</v>
      </c>
      <c r="AE92" s="75">
        <f t="shared" si="343"/>
        <v>3.9665776356864003E-2</v>
      </c>
      <c r="AF92" s="75">
        <f>AF74</f>
        <v>0.11630828160000001</v>
      </c>
      <c r="AG92" s="85">
        <f>AF83</f>
        <v>66.181100000000001</v>
      </c>
      <c r="AH92" s="76">
        <f>AH83</f>
        <v>1</v>
      </c>
      <c r="AI92" s="19">
        <f>IF($B$4=7,MDETERM(AB92:AH98),IF($B$4=6,MDETERM(AC92:AH97),IF($B$4=5,MDETERM(AD92:AH96),IF($B$4=4,MDETERM(AE92:AH95),IF($B$4=3,MDETERM(AF92:AH94),"ERRO")))))</f>
        <v>2.1302246237112915E-10</v>
      </c>
      <c r="AJ92" s="19">
        <v>36</v>
      </c>
      <c r="AK92" s="77">
        <f t="shared" si="120"/>
        <v>0.71628199999999953</v>
      </c>
      <c r="AL92" s="78">
        <f t="shared" si="112"/>
        <v>25.689377571003206</v>
      </c>
      <c r="AN92" s="19">
        <v>2</v>
      </c>
      <c r="AO92" s="74">
        <f>AO83</f>
        <v>84024103591.541061</v>
      </c>
      <c r="AP92" s="75">
        <f t="shared" ref="AP92:AR92" si="344">AP83</f>
        <v>1269608749.1978986</v>
      </c>
      <c r="AQ92" s="75">
        <f t="shared" si="344"/>
        <v>19183856.859403949</v>
      </c>
      <c r="AR92" s="75">
        <f t="shared" si="344"/>
        <v>289869.11458715476</v>
      </c>
      <c r="AS92" s="75">
        <f>AS74</f>
        <v>4379.9379972100005</v>
      </c>
      <c r="AT92" s="85">
        <f>AS83</f>
        <v>0.34104000000000001</v>
      </c>
      <c r="AU92" s="76">
        <f>AU83</f>
        <v>1</v>
      </c>
      <c r="AV92" s="19">
        <f>IF($B$4=7,MDETERM(AO92:AU98),IF($B$4=6,MDETERM(AP92:AU97),IF($B$4=5,MDETERM(AQ92:AU96),IF($B$4=4,MDETERM(AR92:AU95),IF($B$4=3,MDETERM(AS92:AU94),"ERRO")))))</f>
        <v>-1.6706732654433473E+25</v>
      </c>
      <c r="AW92" s="19">
        <v>36</v>
      </c>
      <c r="AX92" s="77">
        <f t="shared" si="122"/>
        <v>50.822089999999953</v>
      </c>
      <c r="AY92" s="78">
        <f t="shared" si="102"/>
        <v>0.40721088253874504</v>
      </c>
      <c r="AZ92" s="19">
        <f t="shared" si="123"/>
        <v>-2.4979051014163645E-2</v>
      </c>
      <c r="BA92" s="19">
        <v>2</v>
      </c>
      <c r="BB92" s="74">
        <f>BB83</f>
        <v>729</v>
      </c>
      <c r="BC92" s="75">
        <f t="shared" ref="BC92:BE92" si="345">BC83</f>
        <v>243</v>
      </c>
      <c r="BD92" s="75">
        <f t="shared" si="345"/>
        <v>81</v>
      </c>
      <c r="BE92" s="75">
        <f t="shared" si="345"/>
        <v>27</v>
      </c>
      <c r="BF92" s="75">
        <f>BF74</f>
        <v>9</v>
      </c>
      <c r="BG92" s="85">
        <f>BF83</f>
        <v>8.5639466444108105</v>
      </c>
      <c r="BH92" s="76">
        <f>BH83</f>
        <v>1</v>
      </c>
      <c r="BI92" s="19">
        <f>IF($B$4=7,MDETERM(BB92:BH98),IF($B$4=6,MDETERM(BC92:BH97),IF($B$4=5,MDETERM(BD92:BH96),IF($B$4=4,MDETERM(BE92:BH95),IF($B$4=3,MDETERM(BF92:BH94),"ERRO")))))</f>
        <v>-30156465633.022366</v>
      </c>
      <c r="BJ92" s="19">
        <v>36</v>
      </c>
      <c r="BK92" s="77">
        <f t="shared" si="125"/>
        <v>7.2000000000000037</v>
      </c>
      <c r="BL92" s="78">
        <f t="shared" si="106"/>
        <v>10.717644082378001</v>
      </c>
    </row>
    <row r="93" spans="1:64">
      <c r="A93" s="19">
        <v>3</v>
      </c>
      <c r="B93" s="77">
        <f t="shared" ref="B93:E93" si="346">B84</f>
        <v>6.2119048992555544E-3</v>
      </c>
      <c r="C93" s="19">
        <f t="shared" si="346"/>
        <v>1.448840792829284E-2</v>
      </c>
      <c r="D93" s="19">
        <f t="shared" si="346"/>
        <v>3.3792205080566393E-2</v>
      </c>
      <c r="E93" s="19">
        <f t="shared" si="346"/>
        <v>7.881563867187498E-2</v>
      </c>
      <c r="F93" s="19">
        <f t="shared" ref="F93:F98" si="347">F75</f>
        <v>0.18382656249999996</v>
      </c>
      <c r="G93" s="93">
        <f>F84</f>
        <v>4</v>
      </c>
      <c r="H93" s="78">
        <f t="shared" ref="H93:H98" si="348">H84</f>
        <v>1</v>
      </c>
      <c r="J93" s="19">
        <v>37</v>
      </c>
      <c r="K93" s="77">
        <f t="shared" si="116"/>
        <v>0.72700319999999952</v>
      </c>
      <c r="L93" s="78">
        <f t="shared" si="108"/>
        <v>7.5240653062583362</v>
      </c>
      <c r="N93" s="19">
        <v>3</v>
      </c>
      <c r="O93" s="77">
        <f t="shared" ref="O93:R93" si="349">O84</f>
        <v>4096</v>
      </c>
      <c r="P93" s="19">
        <f t="shared" si="349"/>
        <v>1024</v>
      </c>
      <c r="Q93" s="19">
        <f t="shared" si="349"/>
        <v>256</v>
      </c>
      <c r="R93" s="19">
        <f t="shared" si="349"/>
        <v>64</v>
      </c>
      <c r="S93" s="19">
        <f t="shared" ref="S93:S98" si="350">S75</f>
        <v>16</v>
      </c>
      <c r="T93" s="93">
        <f>S84</f>
        <v>453.21249983708327</v>
      </c>
      <c r="U93" s="78">
        <f t="shared" ref="U93:U98" si="351">U84</f>
        <v>1</v>
      </c>
      <c r="W93" s="19">
        <v>37</v>
      </c>
      <c r="X93" s="77">
        <f t="shared" si="118"/>
        <v>7.3200000000000038</v>
      </c>
      <c r="Y93" s="78">
        <f t="shared" si="110"/>
        <v>272.51791124094052</v>
      </c>
      <c r="AA93" s="19">
        <v>3</v>
      </c>
      <c r="AB93" s="77">
        <f t="shared" ref="AB93:AE93" si="352">AB84</f>
        <v>6.2119048992555544E-3</v>
      </c>
      <c r="AC93" s="19">
        <f t="shared" si="352"/>
        <v>1.448840792829284E-2</v>
      </c>
      <c r="AD93" s="19">
        <f t="shared" si="352"/>
        <v>3.3792205080566393E-2</v>
      </c>
      <c r="AE93" s="19">
        <f t="shared" si="352"/>
        <v>7.881563867187498E-2</v>
      </c>
      <c r="AF93" s="19">
        <f t="shared" ref="AF93:AF98" si="353">AF75</f>
        <v>0.18382656249999996</v>
      </c>
      <c r="AG93" s="93">
        <f>AF84</f>
        <v>49.947999999999993</v>
      </c>
      <c r="AH93" s="78">
        <f t="shared" ref="AH93:AH98" si="354">AH84</f>
        <v>1</v>
      </c>
      <c r="AJ93" s="19">
        <v>37</v>
      </c>
      <c r="AK93" s="77">
        <f t="shared" si="120"/>
        <v>0.72700319999999952</v>
      </c>
      <c r="AL93" s="78">
        <f t="shared" si="112"/>
        <v>25.355791362291711</v>
      </c>
      <c r="AN93" s="19">
        <v>3</v>
      </c>
      <c r="AO93" s="77">
        <f t="shared" ref="AO93:AR93" si="355">AO84</f>
        <v>15527753148.754057</v>
      </c>
      <c r="AP93" s="19">
        <f t="shared" si="355"/>
        <v>310878376.48662728</v>
      </c>
      <c r="AQ93" s="19">
        <f t="shared" si="355"/>
        <v>6224040.5318857078</v>
      </c>
      <c r="AR93" s="19">
        <f t="shared" si="355"/>
        <v>124610.40545939194</v>
      </c>
      <c r="AS93" s="19">
        <f t="shared" ref="AS93:AS98" si="356">AS75</f>
        <v>2494.8027039999993</v>
      </c>
      <c r="AT93" s="93">
        <f>AS84</f>
        <v>0.42874999999999996</v>
      </c>
      <c r="AU93" s="78">
        <f t="shared" ref="AU93:AU98" si="357">AU84</f>
        <v>1</v>
      </c>
      <c r="AW93" s="19">
        <v>37</v>
      </c>
      <c r="AX93" s="77">
        <f t="shared" si="122"/>
        <v>51.84602399999995</v>
      </c>
      <c r="AY93" s="78">
        <f t="shared" si="102"/>
        <v>0.37887718581346141</v>
      </c>
      <c r="AZ93" s="19">
        <f t="shared" si="123"/>
        <v>-2.833369672528363E-2</v>
      </c>
      <c r="BA93" s="19">
        <v>3</v>
      </c>
      <c r="BB93" s="77">
        <f t="shared" ref="BB93:BE93" si="358">BB84</f>
        <v>4096</v>
      </c>
      <c r="BC93" s="19">
        <f t="shared" si="358"/>
        <v>1024</v>
      </c>
      <c r="BD93" s="19">
        <f t="shared" si="358"/>
        <v>256</v>
      </c>
      <c r="BE93" s="19">
        <f t="shared" si="358"/>
        <v>64</v>
      </c>
      <c r="BF93" s="19">
        <f t="shared" ref="BF93:BF98" si="359">BF75</f>
        <v>16</v>
      </c>
      <c r="BG93" s="93">
        <f>BF84</f>
        <v>9.073686630837738</v>
      </c>
      <c r="BH93" s="78">
        <f t="shared" ref="BH93:BH98" si="360">BH84</f>
        <v>1</v>
      </c>
      <c r="BJ93" s="19">
        <v>37</v>
      </c>
      <c r="BK93" s="77">
        <f t="shared" si="125"/>
        <v>7.3200000000000038</v>
      </c>
      <c r="BL93" s="78">
        <f t="shared" si="106"/>
        <v>10.688504023771429</v>
      </c>
    </row>
    <row r="94" spans="1:64">
      <c r="A94" s="19">
        <v>4</v>
      </c>
      <c r="B94" s="77">
        <f t="shared" ref="B94:E94" si="361">B85</f>
        <v>1.6720708047084056E-2</v>
      </c>
      <c r="C94" s="19">
        <f t="shared" si="361"/>
        <v>3.3065788734148199E-2</v>
      </c>
      <c r="D94" s="19">
        <f t="shared" si="361"/>
        <v>6.5388761141726398E-2</v>
      </c>
      <c r="E94" s="19">
        <f t="shared" si="361"/>
        <v>0.12930857685043193</v>
      </c>
      <c r="F94" s="19">
        <f t="shared" si="347"/>
        <v>0.25571226239999989</v>
      </c>
      <c r="G94" s="93">
        <f t="shared" ref="G94:G98" si="362">F85</f>
        <v>5</v>
      </c>
      <c r="H94" s="78">
        <f t="shared" si="348"/>
        <v>1</v>
      </c>
      <c r="J94" s="19">
        <v>38</v>
      </c>
      <c r="K94" s="77">
        <f t="shared" si="116"/>
        <v>0.7377243999999995</v>
      </c>
      <c r="L94" s="78">
        <f t="shared" si="108"/>
        <v>7.6466655796287171</v>
      </c>
      <c r="N94" s="19">
        <v>4</v>
      </c>
      <c r="O94" s="77">
        <f t="shared" ref="O94:R94" si="363">O85</f>
        <v>15625</v>
      </c>
      <c r="P94" s="19">
        <f t="shared" si="363"/>
        <v>3125</v>
      </c>
      <c r="Q94" s="19">
        <f t="shared" si="363"/>
        <v>625</v>
      </c>
      <c r="R94" s="19">
        <f t="shared" si="363"/>
        <v>125</v>
      </c>
      <c r="S94" s="19">
        <f t="shared" si="350"/>
        <v>25</v>
      </c>
      <c r="T94" s="93">
        <f t="shared" ref="T94:T98" si="364">S85</f>
        <v>378.18911451079146</v>
      </c>
      <c r="U94" s="78">
        <f t="shared" si="351"/>
        <v>1</v>
      </c>
      <c r="W94" s="19">
        <v>38</v>
      </c>
      <c r="X94" s="77">
        <f t="shared" si="118"/>
        <v>7.4400000000000039</v>
      </c>
      <c r="Y94" s="78">
        <f t="shared" si="110"/>
        <v>268.66175028415637</v>
      </c>
      <c r="AA94" s="19">
        <v>4</v>
      </c>
      <c r="AB94" s="77">
        <f t="shared" ref="AB94:AE94" si="365">AB85</f>
        <v>1.6720708047084056E-2</v>
      </c>
      <c r="AC94" s="19">
        <f t="shared" si="365"/>
        <v>3.3065788734148199E-2</v>
      </c>
      <c r="AD94" s="19">
        <f t="shared" si="365"/>
        <v>6.5388761141726398E-2</v>
      </c>
      <c r="AE94" s="19">
        <f t="shared" si="365"/>
        <v>0.12930857685043193</v>
      </c>
      <c r="AF94" s="19">
        <f t="shared" si="353"/>
        <v>0.25571226239999989</v>
      </c>
      <c r="AG94" s="93">
        <f t="shared" ref="AG94:AG98" si="366">AF85</f>
        <v>44.953199999999995</v>
      </c>
      <c r="AH94" s="78">
        <f t="shared" si="354"/>
        <v>1</v>
      </c>
      <c r="AJ94" s="19">
        <v>38</v>
      </c>
      <c r="AK94" s="77">
        <f t="shared" si="120"/>
        <v>0.7377243999999995</v>
      </c>
      <c r="AL94" s="78">
        <f t="shared" si="112"/>
        <v>24.873723124006574</v>
      </c>
      <c r="AN94" s="19">
        <v>4</v>
      </c>
      <c r="AO94" s="77">
        <f t="shared" ref="AO94:AR94" si="367">AO85</f>
        <v>8252084661.1270084</v>
      </c>
      <c r="AP94" s="19">
        <f t="shared" si="367"/>
        <v>183570572.53158861</v>
      </c>
      <c r="AQ94" s="19">
        <f t="shared" si="367"/>
        <v>4083592.9929702142</v>
      </c>
      <c r="AR94" s="19">
        <f t="shared" si="367"/>
        <v>90840.985579896747</v>
      </c>
      <c r="AS94" s="19">
        <f t="shared" si="356"/>
        <v>2020.7901902399997</v>
      </c>
      <c r="AT94" s="93">
        <f t="shared" ref="AT94:AT98" si="368">AS85</f>
        <v>0.50567999999999991</v>
      </c>
      <c r="AU94" s="78">
        <f t="shared" si="357"/>
        <v>1</v>
      </c>
      <c r="AW94" s="19">
        <v>38</v>
      </c>
      <c r="AX94" s="77">
        <f t="shared" si="122"/>
        <v>52.869957999999947</v>
      </c>
      <c r="AY94" s="78">
        <f t="shared" si="102"/>
        <v>0.34748144823763538</v>
      </c>
      <c r="AZ94" s="19">
        <f t="shared" si="123"/>
        <v>-3.1395737575826033E-2</v>
      </c>
      <c r="BA94" s="19">
        <v>4</v>
      </c>
      <c r="BB94" s="77">
        <f t="shared" ref="BB94:BE94" si="369">BB85</f>
        <v>15625</v>
      </c>
      <c r="BC94" s="19">
        <f t="shared" si="369"/>
        <v>3125</v>
      </c>
      <c r="BD94" s="19">
        <f t="shared" si="369"/>
        <v>625</v>
      </c>
      <c r="BE94" s="19">
        <f t="shared" si="369"/>
        <v>125</v>
      </c>
      <c r="BF94" s="19">
        <f t="shared" si="359"/>
        <v>25</v>
      </c>
      <c r="BG94" s="93">
        <f t="shared" ref="BG94:BG98" si="370">BF85</f>
        <v>8.4129520147796271</v>
      </c>
      <c r="BH94" s="78">
        <f t="shared" si="360"/>
        <v>1</v>
      </c>
      <c r="BJ94" s="19">
        <v>38</v>
      </c>
      <c r="BK94" s="77">
        <f t="shared" si="125"/>
        <v>7.4400000000000039</v>
      </c>
      <c r="BL94" s="78">
        <f t="shared" si="106"/>
        <v>10.691184016978923</v>
      </c>
    </row>
    <row r="95" spans="1:64">
      <c r="A95" s="19">
        <v>5</v>
      </c>
      <c r="B95" s="77">
        <f t="shared" ref="B95:E95" si="371">B86</f>
        <v>4.6772761567521089E-2</v>
      </c>
      <c r="C95" s="19">
        <f t="shared" si="371"/>
        <v>7.7922135056261707E-2</v>
      </c>
      <c r="D95" s="19">
        <f t="shared" si="371"/>
        <v>0.12981613503750389</v>
      </c>
      <c r="E95" s="19">
        <f t="shared" si="371"/>
        <v>0.21627011251562495</v>
      </c>
      <c r="F95" s="19">
        <f t="shared" si="347"/>
        <v>0.36030006249999996</v>
      </c>
      <c r="G95" s="93">
        <f t="shared" si="362"/>
        <v>6</v>
      </c>
      <c r="H95" s="78">
        <f t="shared" si="348"/>
        <v>1</v>
      </c>
      <c r="J95" s="19">
        <v>39</v>
      </c>
      <c r="K95" s="77">
        <f t="shared" si="116"/>
        <v>0.74844559999999949</v>
      </c>
      <c r="L95" s="78">
        <f t="shared" si="108"/>
        <v>7.7642477959721248</v>
      </c>
      <c r="N95" s="19">
        <v>5</v>
      </c>
      <c r="O95" s="77">
        <f t="shared" ref="O95:R95" si="372">O86</f>
        <v>46656</v>
      </c>
      <c r="P95" s="19">
        <f t="shared" si="372"/>
        <v>7776</v>
      </c>
      <c r="Q95" s="19">
        <f t="shared" si="372"/>
        <v>1296</v>
      </c>
      <c r="R95" s="19">
        <f t="shared" si="372"/>
        <v>216</v>
      </c>
      <c r="S95" s="19">
        <f t="shared" si="350"/>
        <v>36</v>
      </c>
      <c r="T95" s="93">
        <f t="shared" si="364"/>
        <v>323.72321416934517</v>
      </c>
      <c r="U95" s="78">
        <f t="shared" si="351"/>
        <v>1</v>
      </c>
      <c r="W95" s="19">
        <v>39</v>
      </c>
      <c r="X95" s="77">
        <f t="shared" si="118"/>
        <v>7.5600000000000041</v>
      </c>
      <c r="Y95" s="78">
        <f t="shared" si="110"/>
        <v>264.89840925982935</v>
      </c>
      <c r="AA95" s="19">
        <v>5</v>
      </c>
      <c r="AB95" s="77">
        <f t="shared" ref="AB95:AE95" si="373">AB86</f>
        <v>4.6772761567521089E-2</v>
      </c>
      <c r="AC95" s="19">
        <f t="shared" si="373"/>
        <v>7.7922135056261707E-2</v>
      </c>
      <c r="AD95" s="19">
        <f t="shared" si="373"/>
        <v>0.12981613503750389</v>
      </c>
      <c r="AE95" s="19">
        <f t="shared" si="373"/>
        <v>0.21627011251562495</v>
      </c>
      <c r="AF95" s="19">
        <f t="shared" si="353"/>
        <v>0.36030006249999996</v>
      </c>
      <c r="AG95" s="93">
        <f t="shared" si="366"/>
        <v>30.855377000000001</v>
      </c>
      <c r="AH95" s="78">
        <f t="shared" si="354"/>
        <v>1</v>
      </c>
      <c r="AJ95" s="19">
        <v>39</v>
      </c>
      <c r="AK95" s="77">
        <f t="shared" si="120"/>
        <v>0.74844559999999949</v>
      </c>
      <c r="AL95" s="78">
        <f t="shared" si="112"/>
        <v>24.209281184213978</v>
      </c>
      <c r="AN95" s="19">
        <v>5</v>
      </c>
      <c r="AO95" s="77">
        <f t="shared" ref="AO95:AR95" si="374">AO86</f>
        <v>862949025.63956308</v>
      </c>
      <c r="AP95" s="19">
        <f t="shared" si="374"/>
        <v>27967541.140060067</v>
      </c>
      <c r="AQ95" s="19">
        <f t="shared" si="374"/>
        <v>906407.3707496773</v>
      </c>
      <c r="AR95" s="19">
        <f t="shared" si="374"/>
        <v>29375.994036620501</v>
      </c>
      <c r="AS95" s="19">
        <f t="shared" si="356"/>
        <v>952.05428981212901</v>
      </c>
      <c r="AT95" s="93">
        <f t="shared" si="368"/>
        <v>0.60024999999999995</v>
      </c>
      <c r="AU95" s="78">
        <f t="shared" si="357"/>
        <v>1</v>
      </c>
      <c r="AW95" s="19">
        <v>39</v>
      </c>
      <c r="AX95" s="77">
        <f t="shared" si="122"/>
        <v>53.893891999999944</v>
      </c>
      <c r="AY95" s="78">
        <f t="shared" si="102"/>
        <v>0.31353234125194773</v>
      </c>
      <c r="AZ95" s="19">
        <f t="shared" si="123"/>
        <v>-3.3949106985687649E-2</v>
      </c>
      <c r="BA95" s="19">
        <v>5</v>
      </c>
      <c r="BB95" s="77">
        <f t="shared" ref="BB95:BE95" si="375">BB86</f>
        <v>46656</v>
      </c>
      <c r="BC95" s="19">
        <f t="shared" si="375"/>
        <v>7776</v>
      </c>
      <c r="BD95" s="19">
        <f t="shared" si="375"/>
        <v>1296</v>
      </c>
      <c r="BE95" s="19">
        <f t="shared" si="375"/>
        <v>216</v>
      </c>
      <c r="BF95" s="19">
        <f t="shared" si="359"/>
        <v>36</v>
      </c>
      <c r="BG95" s="93">
        <f t="shared" si="370"/>
        <v>10.491630491805211</v>
      </c>
      <c r="BH95" s="78">
        <f t="shared" si="360"/>
        <v>1</v>
      </c>
      <c r="BJ95" s="19">
        <v>39</v>
      </c>
      <c r="BK95" s="77">
        <f t="shared" si="125"/>
        <v>7.5600000000000041</v>
      </c>
      <c r="BL95" s="78">
        <f t="shared" si="106"/>
        <v>10.737194058615614</v>
      </c>
    </row>
    <row r="96" spans="1:64">
      <c r="A96" s="19">
        <v>6</v>
      </c>
      <c r="B96" s="77">
        <f t="shared" ref="B96:E96" si="376">B87</f>
        <v>0.10244458085321199</v>
      </c>
      <c r="C96" s="19">
        <f t="shared" si="376"/>
        <v>0.14976402089528679</v>
      </c>
      <c r="D96" s="19">
        <f t="shared" si="376"/>
        <v>0.21894044338823282</v>
      </c>
      <c r="E96" s="19">
        <f t="shared" si="376"/>
        <v>0.32006965000326415</v>
      </c>
      <c r="F96" s="19">
        <f t="shared" si="347"/>
        <v>0.46791072160000013</v>
      </c>
      <c r="G96" s="93">
        <f t="shared" si="362"/>
        <v>7</v>
      </c>
      <c r="H96" s="78">
        <f t="shared" si="348"/>
        <v>1</v>
      </c>
      <c r="J96" s="19">
        <v>40</v>
      </c>
      <c r="K96" s="77">
        <f t="shared" si="116"/>
        <v>0.75916679999999948</v>
      </c>
      <c r="L96" s="78">
        <f t="shared" si="108"/>
        <v>7.8762077715032603</v>
      </c>
      <c r="N96" s="19">
        <v>6</v>
      </c>
      <c r="O96" s="77">
        <f t="shared" ref="O96:R96" si="377">O87</f>
        <v>117649</v>
      </c>
      <c r="P96" s="19">
        <f t="shared" si="377"/>
        <v>16807</v>
      </c>
      <c r="Q96" s="19">
        <f t="shared" si="377"/>
        <v>2401</v>
      </c>
      <c r="R96" s="19">
        <f t="shared" si="377"/>
        <v>343</v>
      </c>
      <c r="S96" s="19">
        <f t="shared" si="350"/>
        <v>49</v>
      </c>
      <c r="T96" s="93">
        <f t="shared" si="364"/>
        <v>283.32174408346413</v>
      </c>
      <c r="U96" s="78">
        <f t="shared" si="351"/>
        <v>1</v>
      </c>
      <c r="W96" s="19">
        <v>40</v>
      </c>
      <c r="X96" s="77">
        <f t="shared" si="118"/>
        <v>7.6800000000000042</v>
      </c>
      <c r="Y96" s="78">
        <f t="shared" si="110"/>
        <v>261.2202599619759</v>
      </c>
      <c r="AA96" s="19">
        <v>6</v>
      </c>
      <c r="AB96" s="77">
        <f t="shared" ref="AB96:AE96" si="378">AB87</f>
        <v>0.10244458085321199</v>
      </c>
      <c r="AC96" s="19">
        <f t="shared" si="378"/>
        <v>0.14976402089528679</v>
      </c>
      <c r="AD96" s="19">
        <f t="shared" si="378"/>
        <v>0.21894044338823282</v>
      </c>
      <c r="AE96" s="19">
        <f t="shared" si="378"/>
        <v>0.32006965000326415</v>
      </c>
      <c r="AF96" s="19">
        <f t="shared" si="353"/>
        <v>0.46791072160000013</v>
      </c>
      <c r="AG96" s="93">
        <f t="shared" si="366"/>
        <v>26.2227</v>
      </c>
      <c r="AH96" s="78">
        <f t="shared" si="354"/>
        <v>1</v>
      </c>
      <c r="AJ96" s="19">
        <v>40</v>
      </c>
      <c r="AK96" s="77">
        <f t="shared" si="120"/>
        <v>0.75916679999999948</v>
      </c>
      <c r="AL96" s="78">
        <f t="shared" si="112"/>
        <v>23.338433202310625</v>
      </c>
      <c r="AN96" s="19">
        <v>6</v>
      </c>
      <c r="AO96" s="77">
        <f t="shared" ref="AO96:AR96" si="379">AO87</f>
        <v>325135535.98978829</v>
      </c>
      <c r="AP96" s="19">
        <f t="shared" si="379"/>
        <v>12399010.627806759</v>
      </c>
      <c r="AQ96" s="19">
        <f t="shared" si="379"/>
        <v>472835.01042252546</v>
      </c>
      <c r="AR96" s="19">
        <f t="shared" si="379"/>
        <v>18031.515077491084</v>
      </c>
      <c r="AS96" s="19">
        <f t="shared" si="356"/>
        <v>687.62999529000001</v>
      </c>
      <c r="AT96" s="93">
        <f t="shared" si="368"/>
        <v>0.68404000000000009</v>
      </c>
      <c r="AU96" s="78">
        <f t="shared" si="357"/>
        <v>1</v>
      </c>
      <c r="AW96" s="19">
        <v>40</v>
      </c>
      <c r="AX96" s="77">
        <f t="shared" si="122"/>
        <v>54.917825999999941</v>
      </c>
      <c r="AY96" s="78">
        <f t="shared" si="102"/>
        <v>0.27778673921822672</v>
      </c>
      <c r="AZ96" s="19">
        <f t="shared" si="123"/>
        <v>-3.5745602033721013E-2</v>
      </c>
      <c r="BA96" s="19">
        <v>6</v>
      </c>
      <c r="BB96" s="77">
        <f t="shared" ref="BB96:BE96" si="380">BB87</f>
        <v>117649</v>
      </c>
      <c r="BC96" s="19">
        <f t="shared" si="380"/>
        <v>16807</v>
      </c>
      <c r="BD96" s="19">
        <f t="shared" si="380"/>
        <v>2401</v>
      </c>
      <c r="BE96" s="19">
        <f t="shared" si="380"/>
        <v>343</v>
      </c>
      <c r="BF96" s="19">
        <f t="shared" si="359"/>
        <v>49</v>
      </c>
      <c r="BG96" s="93">
        <f t="shared" si="370"/>
        <v>10.804445922176745</v>
      </c>
      <c r="BH96" s="78">
        <f t="shared" si="360"/>
        <v>1</v>
      </c>
      <c r="BJ96" s="19">
        <v>40</v>
      </c>
      <c r="BK96" s="77">
        <f t="shared" si="125"/>
        <v>7.6800000000000042</v>
      </c>
      <c r="BL96" s="78">
        <f t="shared" si="106"/>
        <v>10.836983525397272</v>
      </c>
    </row>
    <row r="97" spans="1:64">
      <c r="A97" s="19">
        <v>7</v>
      </c>
      <c r="B97" s="77">
        <f t="shared" ref="B97:E97" si="381">B88</f>
        <v>0.2112807009001775</v>
      </c>
      <c r="C97" s="19">
        <f t="shared" si="381"/>
        <v>0.27376831992248463</v>
      </c>
      <c r="D97" s="19">
        <f t="shared" si="381"/>
        <v>0.35473705205375394</v>
      </c>
      <c r="E97" s="19">
        <f t="shared" si="381"/>
        <v>0.45965280473437503</v>
      </c>
      <c r="F97" s="19">
        <f t="shared" si="347"/>
        <v>0.59559806250000003</v>
      </c>
      <c r="G97" s="93">
        <f t="shared" si="362"/>
        <v>8</v>
      </c>
      <c r="H97" s="78">
        <f t="shared" si="348"/>
        <v>1</v>
      </c>
      <c r="J97" s="19">
        <v>41</v>
      </c>
      <c r="K97" s="77">
        <f t="shared" si="116"/>
        <v>0.76988799999999946</v>
      </c>
      <c r="L97" s="78">
        <f t="shared" si="108"/>
        <v>7.9822047561436023</v>
      </c>
      <c r="N97" s="19">
        <v>7</v>
      </c>
      <c r="O97" s="77">
        <f t="shared" ref="O97:R97" si="382">O88</f>
        <v>262144</v>
      </c>
      <c r="P97" s="19">
        <f t="shared" si="382"/>
        <v>32768</v>
      </c>
      <c r="Q97" s="19">
        <f t="shared" si="382"/>
        <v>4096</v>
      </c>
      <c r="R97" s="19">
        <f t="shared" si="382"/>
        <v>512</v>
      </c>
      <c r="S97" s="19">
        <f t="shared" si="350"/>
        <v>64</v>
      </c>
      <c r="T97" s="93">
        <f t="shared" si="364"/>
        <v>251.7847221317129</v>
      </c>
      <c r="U97" s="78">
        <f t="shared" si="351"/>
        <v>1</v>
      </c>
      <c r="W97" s="19">
        <v>41</v>
      </c>
      <c r="X97" s="77">
        <f t="shared" si="118"/>
        <v>7.8000000000000043</v>
      </c>
      <c r="Y97" s="78">
        <f t="shared" si="110"/>
        <v>257.62089549836492</v>
      </c>
      <c r="AA97" s="19">
        <v>7</v>
      </c>
      <c r="AB97" s="77">
        <f t="shared" ref="AB97:AE97" si="383">AB88</f>
        <v>0.2112807009001775</v>
      </c>
      <c r="AC97" s="19">
        <f t="shared" si="383"/>
        <v>0.27376831992248463</v>
      </c>
      <c r="AD97" s="19">
        <f t="shared" si="383"/>
        <v>0.35473705205375394</v>
      </c>
      <c r="AE97" s="19">
        <f t="shared" si="383"/>
        <v>0.45965280473437503</v>
      </c>
      <c r="AF97" s="19">
        <f t="shared" si="353"/>
        <v>0.59559806250000003</v>
      </c>
      <c r="AG97" s="93">
        <f t="shared" si="366"/>
        <v>22.039554999999996</v>
      </c>
      <c r="AH97" s="78">
        <f t="shared" si="354"/>
        <v>1</v>
      </c>
      <c r="AJ97" s="19">
        <v>41</v>
      </c>
      <c r="AK97" s="77">
        <f t="shared" si="120"/>
        <v>0.76988799999999946</v>
      </c>
      <c r="AL97" s="78">
        <f t="shared" si="112"/>
        <v>22.250465361123133</v>
      </c>
      <c r="AN97" s="19">
        <v>7</v>
      </c>
      <c r="AO97" s="77">
        <f t="shared" ref="AO97:AR97" si="384">AO88</f>
        <v>114608526.42706832</v>
      </c>
      <c r="AP97" s="19">
        <f t="shared" si="384"/>
        <v>5200128.8786034174</v>
      </c>
      <c r="AQ97" s="19">
        <f t="shared" si="384"/>
        <v>235945.2756012278</v>
      </c>
      <c r="AR97" s="19">
        <f t="shared" si="384"/>
        <v>10705.53718535732</v>
      </c>
      <c r="AS97" s="19">
        <f t="shared" si="356"/>
        <v>485.74198459802483</v>
      </c>
      <c r="AT97" s="93">
        <f t="shared" si="368"/>
        <v>0.77175000000000005</v>
      </c>
      <c r="AU97" s="78">
        <f t="shared" si="357"/>
        <v>1</v>
      </c>
      <c r="AW97" s="19">
        <v>41</v>
      </c>
      <c r="AX97" s="77">
        <f t="shared" si="122"/>
        <v>55.941759999999938</v>
      </c>
      <c r="AY97" s="78">
        <f t="shared" si="102"/>
        <v>0.24128355417914782</v>
      </c>
      <c r="AZ97" s="19">
        <f t="shared" si="123"/>
        <v>-3.65031850390789E-2</v>
      </c>
      <c r="BA97" s="19">
        <v>7</v>
      </c>
      <c r="BB97" s="77">
        <f t="shared" ref="BB97:BE97" si="385">BB88</f>
        <v>262144</v>
      </c>
      <c r="BC97" s="19">
        <f t="shared" si="385"/>
        <v>32768</v>
      </c>
      <c r="BD97" s="19">
        <f t="shared" si="385"/>
        <v>4096</v>
      </c>
      <c r="BE97" s="19">
        <f t="shared" si="385"/>
        <v>512</v>
      </c>
      <c r="BF97" s="19">
        <f t="shared" si="359"/>
        <v>64</v>
      </c>
      <c r="BG97" s="93">
        <f t="shared" si="370"/>
        <v>11.424219868854564</v>
      </c>
      <c r="BH97" s="78">
        <f t="shared" si="360"/>
        <v>1</v>
      </c>
      <c r="BJ97" s="19">
        <v>41</v>
      </c>
      <c r="BK97" s="77">
        <f t="shared" si="125"/>
        <v>7.8000000000000043</v>
      </c>
      <c r="BL97" s="78">
        <f t="shared" si="106"/>
        <v>10.999274158171147</v>
      </c>
    </row>
    <row r="98" spans="1:64">
      <c r="A98" s="19">
        <v>8</v>
      </c>
      <c r="B98" s="79">
        <f t="shared" ref="B98:E98" si="386">B89</f>
        <v>0.45529687141342695</v>
      </c>
      <c r="C98" s="80">
        <f t="shared" si="386"/>
        <v>0.51909345731778245</v>
      </c>
      <c r="D98" s="80">
        <f t="shared" si="386"/>
        <v>0.59182927524544804</v>
      </c>
      <c r="E98" s="80">
        <f t="shared" si="386"/>
        <v>0.67475689801099992</v>
      </c>
      <c r="F98" s="80">
        <f t="shared" si="347"/>
        <v>0.76930440999999994</v>
      </c>
      <c r="G98" s="86">
        <f t="shared" si="362"/>
        <v>9</v>
      </c>
      <c r="H98" s="81">
        <f t="shared" si="348"/>
        <v>1</v>
      </c>
      <c r="J98" s="19">
        <v>42</v>
      </c>
      <c r="K98" s="77">
        <f t="shared" si="116"/>
        <v>0.78060919999999945</v>
      </c>
      <c r="L98" s="78">
        <f t="shared" si="108"/>
        <v>8.08223848435685</v>
      </c>
      <c r="N98" s="19">
        <v>8</v>
      </c>
      <c r="O98" s="79">
        <f t="shared" ref="O98:R98" si="387">O89</f>
        <v>531441</v>
      </c>
      <c r="P98" s="80">
        <f t="shared" si="387"/>
        <v>59049</v>
      </c>
      <c r="Q98" s="80">
        <f t="shared" si="387"/>
        <v>6561</v>
      </c>
      <c r="R98" s="80">
        <f t="shared" si="387"/>
        <v>729</v>
      </c>
      <c r="S98" s="80">
        <f t="shared" si="350"/>
        <v>81</v>
      </c>
      <c r="T98" s="86">
        <f t="shared" si="364"/>
        <v>226.19791658535507</v>
      </c>
      <c r="U98" s="81">
        <f t="shared" si="351"/>
        <v>1</v>
      </c>
      <c r="W98" s="19">
        <v>42</v>
      </c>
      <c r="X98" s="77">
        <f t="shared" si="118"/>
        <v>7.9200000000000044</v>
      </c>
      <c r="Y98" s="78">
        <f t="shared" si="110"/>
        <v>254.09546669696283</v>
      </c>
      <c r="AA98" s="19">
        <v>8</v>
      </c>
      <c r="AB98" s="79">
        <f t="shared" ref="AB98:AE98" si="388">AB89</f>
        <v>0.45529687141342695</v>
      </c>
      <c r="AC98" s="80">
        <f t="shared" si="388"/>
        <v>0.51909345731778245</v>
      </c>
      <c r="AD98" s="80">
        <f t="shared" si="388"/>
        <v>0.59182927524544804</v>
      </c>
      <c r="AE98" s="80">
        <f t="shared" si="388"/>
        <v>0.67475689801099992</v>
      </c>
      <c r="AF98" s="80">
        <f t="shared" si="353"/>
        <v>0.76930440999999994</v>
      </c>
      <c r="AG98" s="86">
        <f t="shared" si="366"/>
        <v>14.984399999999999</v>
      </c>
      <c r="AH98" s="81">
        <f t="shared" si="354"/>
        <v>1</v>
      </c>
      <c r="AJ98" s="19">
        <v>42</v>
      </c>
      <c r="AK98" s="77">
        <f t="shared" si="120"/>
        <v>0.78060919999999945</v>
      </c>
      <c r="AL98" s="78">
        <f t="shared" si="112"/>
        <v>20.951734105181458</v>
      </c>
      <c r="AN98" s="19">
        <v>8</v>
      </c>
      <c r="AO98" s="79">
        <f t="shared" ref="AO98:AR98" si="389">AO89</f>
        <v>11319732.045441713</v>
      </c>
      <c r="AP98" s="80">
        <f t="shared" si="389"/>
        <v>755434.45486250462</v>
      </c>
      <c r="AQ98" s="80">
        <f t="shared" si="389"/>
        <v>50414.728308274251</v>
      </c>
      <c r="AR98" s="80">
        <f t="shared" si="389"/>
        <v>3364.4809474035833</v>
      </c>
      <c r="AS98" s="80">
        <f t="shared" si="356"/>
        <v>224.53224335999997</v>
      </c>
      <c r="AT98" s="86">
        <f t="shared" si="368"/>
        <v>0.87709999999999999</v>
      </c>
      <c r="AU98" s="81">
        <f t="shared" si="357"/>
        <v>1</v>
      </c>
      <c r="AW98" s="19">
        <v>42</v>
      </c>
      <c r="AX98" s="77">
        <f t="shared" si="122"/>
        <v>56.965693999999935</v>
      </c>
      <c r="AY98" s="78">
        <f t="shared" si="102"/>
        <v>0.20537926903565284</v>
      </c>
      <c r="AZ98" s="19">
        <f t="shared" si="123"/>
        <v>-3.5904285143494974E-2</v>
      </c>
      <c r="BA98" s="19">
        <v>8</v>
      </c>
      <c r="BB98" s="79">
        <f t="shared" ref="BB98:BE98" si="390">BB89</f>
        <v>531441</v>
      </c>
      <c r="BC98" s="80">
        <f t="shared" si="390"/>
        <v>59049</v>
      </c>
      <c r="BD98" s="80">
        <f t="shared" si="390"/>
        <v>6561</v>
      </c>
      <c r="BE98" s="80">
        <f t="shared" si="390"/>
        <v>729</v>
      </c>
      <c r="BF98" s="80">
        <f t="shared" si="359"/>
        <v>81</v>
      </c>
      <c r="BG98" s="86">
        <f t="shared" si="370"/>
        <v>15.095560488598482</v>
      </c>
      <c r="BH98" s="81">
        <f t="shared" si="360"/>
        <v>1</v>
      </c>
      <c r="BJ98" s="19">
        <v>42</v>
      </c>
      <c r="BK98" s="77">
        <f t="shared" si="125"/>
        <v>7.9200000000000044</v>
      </c>
      <c r="BL98" s="78">
        <f t="shared" si="106"/>
        <v>11.230330639750946</v>
      </c>
    </row>
    <row r="99" spans="1:64">
      <c r="J99" s="19">
        <v>43</v>
      </c>
      <c r="K99" s="77">
        <f t="shared" si="116"/>
        <v>0.79133039999999943</v>
      </c>
      <c r="L99" s="78">
        <f t="shared" si="108"/>
        <v>8.1767322679509391</v>
      </c>
      <c r="W99" s="19">
        <v>43</v>
      </c>
      <c r="X99" s="77">
        <f t="shared" si="118"/>
        <v>8.0400000000000045</v>
      </c>
      <c r="Y99" s="78">
        <f t="shared" si="110"/>
        <v>250.64105190928967</v>
      </c>
      <c r="AJ99" s="19">
        <v>43</v>
      </c>
      <c r="AK99" s="77">
        <f t="shared" si="120"/>
        <v>0.79133039999999943</v>
      </c>
      <c r="AL99" s="78">
        <f t="shared" si="112"/>
        <v>19.469710426694292</v>
      </c>
      <c r="AW99" s="19">
        <v>43</v>
      </c>
      <c r="AX99" s="77">
        <f t="shared" si="122"/>
        <v>57.989627999999932</v>
      </c>
      <c r="AY99" s="78">
        <f t="shared" si="102"/>
        <v>0.17178516914189301</v>
      </c>
      <c r="AZ99" s="19">
        <f t="shared" si="123"/>
        <v>-3.3594099893759832E-2</v>
      </c>
      <c r="BJ99" s="19">
        <v>43</v>
      </c>
      <c r="BK99" s="77">
        <f t="shared" si="125"/>
        <v>8.0400000000000045</v>
      </c>
      <c r="BL99" s="78">
        <f t="shared" si="106"/>
        <v>11.533168767330835</v>
      </c>
    </row>
    <row r="100" spans="1:64">
      <c r="A100" s="19" t="s">
        <v>110</v>
      </c>
      <c r="B100" s="19">
        <v>6</v>
      </c>
      <c r="C100" s="19">
        <v>5</v>
      </c>
      <c r="D100" s="19">
        <v>4</v>
      </c>
      <c r="E100" s="19">
        <v>3</v>
      </c>
      <c r="F100" s="19">
        <v>2</v>
      </c>
      <c r="G100" s="19">
        <v>1</v>
      </c>
      <c r="H100" s="19">
        <v>0</v>
      </c>
      <c r="J100" s="19">
        <v>44</v>
      </c>
      <c r="K100" s="77">
        <f t="shared" si="116"/>
        <v>0.80205159999999942</v>
      </c>
      <c r="L100" s="78">
        <f t="shared" si="108"/>
        <v>8.2666221308484467</v>
      </c>
      <c r="N100" s="19" t="s">
        <v>110</v>
      </c>
      <c r="O100" s="19">
        <v>6</v>
      </c>
      <c r="P100" s="19">
        <v>5</v>
      </c>
      <c r="Q100" s="19">
        <v>4</v>
      </c>
      <c r="R100" s="19">
        <v>3</v>
      </c>
      <c r="S100" s="19">
        <v>2</v>
      </c>
      <c r="T100" s="19">
        <v>1</v>
      </c>
      <c r="U100" s="19">
        <v>0</v>
      </c>
      <c r="W100" s="19">
        <v>44</v>
      </c>
      <c r="X100" s="77">
        <f t="shared" si="118"/>
        <v>8.1600000000000037</v>
      </c>
      <c r="Y100" s="78">
        <f t="shared" si="110"/>
        <v>247.25706021080623</v>
      </c>
      <c r="AA100" s="19" t="s">
        <v>110</v>
      </c>
      <c r="AB100" s="19">
        <v>6</v>
      </c>
      <c r="AC100" s="19">
        <v>5</v>
      </c>
      <c r="AD100" s="19">
        <v>4</v>
      </c>
      <c r="AE100" s="19">
        <v>3</v>
      </c>
      <c r="AF100" s="19">
        <v>2</v>
      </c>
      <c r="AG100" s="19">
        <v>1</v>
      </c>
      <c r="AH100" s="19">
        <v>0</v>
      </c>
      <c r="AJ100" s="19">
        <v>44</v>
      </c>
      <c r="AK100" s="77">
        <f t="shared" si="120"/>
        <v>0.80205159999999942</v>
      </c>
      <c r="AL100" s="78">
        <f t="shared" si="112"/>
        <v>17.857316700681622</v>
      </c>
      <c r="AN100" s="19" t="s">
        <v>110</v>
      </c>
      <c r="AO100" s="19">
        <v>6</v>
      </c>
      <c r="AP100" s="19">
        <v>5</v>
      </c>
      <c r="AQ100" s="19">
        <v>4</v>
      </c>
      <c r="AR100" s="19">
        <v>3</v>
      </c>
      <c r="AS100" s="19">
        <v>2</v>
      </c>
      <c r="AT100" s="19">
        <v>1</v>
      </c>
      <c r="AU100" s="19">
        <v>0</v>
      </c>
      <c r="AW100" s="19">
        <v>44</v>
      </c>
      <c r="AX100" s="77">
        <f t="shared" si="122"/>
        <v>59.013561999999929</v>
      </c>
      <c r="AY100" s="78">
        <f t="shared" si="102"/>
        <v>0.14260627231917922</v>
      </c>
      <c r="AZ100" s="19">
        <f t="shared" si="123"/>
        <v>-2.9178896822713796E-2</v>
      </c>
      <c r="BA100" s="19" t="s">
        <v>110</v>
      </c>
      <c r="BB100" s="19">
        <v>6</v>
      </c>
      <c r="BC100" s="19">
        <v>5</v>
      </c>
      <c r="BD100" s="19">
        <v>4</v>
      </c>
      <c r="BE100" s="19">
        <v>3</v>
      </c>
      <c r="BF100" s="19">
        <v>2</v>
      </c>
      <c r="BG100" s="19">
        <v>1</v>
      </c>
      <c r="BH100" s="19">
        <v>0</v>
      </c>
      <c r="BJ100" s="19">
        <v>44</v>
      </c>
      <c r="BK100" s="77">
        <f t="shared" si="125"/>
        <v>8.1600000000000037</v>
      </c>
      <c r="BL100" s="78">
        <f t="shared" si="106"/>
        <v>11.906701218910939</v>
      </c>
    </row>
    <row r="101" spans="1:64">
      <c r="A101" s="19">
        <v>2</v>
      </c>
      <c r="B101" s="74">
        <f>B92</f>
        <v>1.5733738139927513E-3</v>
      </c>
      <c r="C101" s="75">
        <f t="shared" ref="C101:F101" si="391">C92</f>
        <v>4.6134582863967613E-3</v>
      </c>
      <c r="D101" s="75">
        <f t="shared" si="391"/>
        <v>1.35276163687449E-2</v>
      </c>
      <c r="E101" s="75">
        <f t="shared" si="391"/>
        <v>3.9665776356864003E-2</v>
      </c>
      <c r="F101" s="75">
        <f t="shared" si="391"/>
        <v>0.11630828160000001</v>
      </c>
      <c r="G101" s="75">
        <f>G83</f>
        <v>0.34104000000000001</v>
      </c>
      <c r="H101" s="88">
        <f>G92</f>
        <v>3</v>
      </c>
      <c r="I101" s="19">
        <f>IF($B$4=7,MDETERM(B101:H107),IF($B$4=6,MDETERM(C101:H106),IF($B$4=5,MDETERM(D101:H105),IF($B$4=4,MDETERM(E101:H104),IF($B$4=3,MDETERM(F101:H103),"ERRO")))))</f>
        <v>-4.0319547461876253E-13</v>
      </c>
      <c r="J101" s="19">
        <v>45</v>
      </c>
      <c r="K101" s="77">
        <f t="shared" si="116"/>
        <v>0.81277279999999941</v>
      </c>
      <c r="L101" s="78">
        <f t="shared" si="108"/>
        <v>8.3534519858408487</v>
      </c>
      <c r="N101" s="19">
        <v>2</v>
      </c>
      <c r="O101" s="74">
        <f>O92</f>
        <v>729</v>
      </c>
      <c r="P101" s="75">
        <f t="shared" ref="P101:S101" si="392">P92</f>
        <v>243</v>
      </c>
      <c r="Q101" s="75">
        <f t="shared" si="392"/>
        <v>81</v>
      </c>
      <c r="R101" s="75">
        <f t="shared" si="392"/>
        <v>27</v>
      </c>
      <c r="S101" s="75">
        <f t="shared" si="392"/>
        <v>9</v>
      </c>
      <c r="T101" s="75">
        <f>T83</f>
        <v>3</v>
      </c>
      <c r="U101" s="88">
        <f>T92</f>
        <v>566.77140926841628</v>
      </c>
      <c r="V101" s="19">
        <f>IF($B$4=7,MDETERM(O101:U107),IF($B$4=6,MDETERM(P101:U106),IF($B$4=5,MDETERM(Q101:U105),IF($B$4=4,MDETERM(R101:U104),IF($B$4=3,MDETERM(S101:U103),"ERRO")))))</f>
        <v>-50212184882.016907</v>
      </c>
      <c r="W101" s="19">
        <v>45</v>
      </c>
      <c r="X101" s="77">
        <f t="shared" si="118"/>
        <v>8.2800000000000029</v>
      </c>
      <c r="Y101" s="78">
        <f t="shared" si="110"/>
        <v>243.94566799838867</v>
      </c>
      <c r="AA101" s="19">
        <v>2</v>
      </c>
      <c r="AB101" s="74">
        <f>AB92</f>
        <v>1.5733738139927513E-3</v>
      </c>
      <c r="AC101" s="75">
        <f t="shared" ref="AC101:AF101" si="393">AC92</f>
        <v>4.6134582863967613E-3</v>
      </c>
      <c r="AD101" s="75">
        <f t="shared" si="393"/>
        <v>1.35276163687449E-2</v>
      </c>
      <c r="AE101" s="75">
        <f t="shared" si="393"/>
        <v>3.9665776356864003E-2</v>
      </c>
      <c r="AF101" s="75">
        <f t="shared" si="393"/>
        <v>0.11630828160000001</v>
      </c>
      <c r="AG101" s="75">
        <f>AG83</f>
        <v>0.34104000000000001</v>
      </c>
      <c r="AH101" s="88">
        <f>AG92</f>
        <v>66.181100000000001</v>
      </c>
      <c r="AI101" s="19">
        <f>IF($B$4=7,MDETERM(AB101:AH107),IF($B$4=6,MDETERM(AC101:AH106),IF($B$4=5,MDETERM(AD101:AH105),IF($B$4=4,MDETERM(AE101:AH104),IF($B$4=3,MDETERM(AF101:AH103),"ERRO")))))</f>
        <v>-1.9895966865533312E-11</v>
      </c>
      <c r="AJ101" s="19">
        <v>45</v>
      </c>
      <c r="AK101" s="77">
        <f t="shared" si="120"/>
        <v>0.81277279999999941</v>
      </c>
      <c r="AL101" s="78">
        <f t="shared" si="112"/>
        <v>16.197556065029858</v>
      </c>
      <c r="AN101" s="19">
        <v>2</v>
      </c>
      <c r="AO101" s="74">
        <f>AO92</f>
        <v>84024103591.541061</v>
      </c>
      <c r="AP101" s="75">
        <f t="shared" ref="AP101:AS101" si="394">AP92</f>
        <v>1269608749.1978986</v>
      </c>
      <c r="AQ101" s="75">
        <f t="shared" si="394"/>
        <v>19183856.859403949</v>
      </c>
      <c r="AR101" s="75">
        <f t="shared" si="394"/>
        <v>289869.11458715476</v>
      </c>
      <c r="AS101" s="75">
        <f t="shared" si="394"/>
        <v>4379.9379972100005</v>
      </c>
      <c r="AT101" s="75">
        <f>AT83</f>
        <v>66.181100000000001</v>
      </c>
      <c r="AU101" s="88">
        <f>AT92</f>
        <v>0.34104000000000001</v>
      </c>
      <c r="AV101" s="19">
        <f>IF($B$4=7,MDETERM(AO101:AU107),IF($B$4=6,MDETERM(AP101:AU106),IF($B$4=5,MDETERM(AQ101:AU105),IF($B$4=4,MDETERM(AR101:AU104),IF($B$4=3,MDETERM(AS101:AU103),"ERRO")))))</f>
        <v>1.4408272491325997E+26</v>
      </c>
      <c r="AW101" s="19">
        <v>45</v>
      </c>
      <c r="AX101" s="77">
        <f t="shared" si="122"/>
        <v>60.037495999999926</v>
      </c>
      <c r="AY101" s="78">
        <f t="shared" si="102"/>
        <v>0.1203819572866196</v>
      </c>
      <c r="AZ101" s="19">
        <f t="shared" si="123"/>
        <v>-2.2224315032559616E-2</v>
      </c>
      <c r="BA101" s="19">
        <v>2</v>
      </c>
      <c r="BB101" s="74">
        <f>BB92</f>
        <v>729</v>
      </c>
      <c r="BC101" s="75">
        <f t="shared" ref="BC101:BF101" si="395">BC92</f>
        <v>243</v>
      </c>
      <c r="BD101" s="75">
        <f t="shared" si="395"/>
        <v>81</v>
      </c>
      <c r="BE101" s="75">
        <f t="shared" si="395"/>
        <v>27</v>
      </c>
      <c r="BF101" s="75">
        <f t="shared" si="395"/>
        <v>9</v>
      </c>
      <c r="BG101" s="75">
        <f>BG83</f>
        <v>3</v>
      </c>
      <c r="BH101" s="88">
        <f>BG92</f>
        <v>8.5639466444108105</v>
      </c>
      <c r="BI101" s="19">
        <f>IF($B$4=7,MDETERM(BB101:BH107),IF($B$4=6,MDETERM(BC101:BH106),IF($B$4=5,MDETERM(BD101:BH105),IF($B$4=4,MDETERM(BE101:BH104),IF($B$4=3,MDETERM(BF101:BH103),"ERRO")))))</f>
        <v>26509590382.972614</v>
      </c>
      <c r="BJ101" s="19">
        <v>45</v>
      </c>
      <c r="BK101" s="77">
        <f t="shared" si="125"/>
        <v>8.2800000000000029</v>
      </c>
      <c r="BL101" s="78">
        <f t="shared" si="106"/>
        <v>12.344820913836202</v>
      </c>
    </row>
    <row r="102" spans="1:64">
      <c r="A102" s="19">
        <v>3</v>
      </c>
      <c r="B102" s="77">
        <f t="shared" ref="B102:F102" si="396">B93</f>
        <v>6.2119048992555544E-3</v>
      </c>
      <c r="C102" s="19">
        <f t="shared" si="396"/>
        <v>1.448840792829284E-2</v>
      </c>
      <c r="D102" s="19">
        <f t="shared" si="396"/>
        <v>3.3792205080566393E-2</v>
      </c>
      <c r="E102" s="19">
        <f t="shared" si="396"/>
        <v>7.881563867187498E-2</v>
      </c>
      <c r="F102" s="19">
        <f t="shared" si="396"/>
        <v>0.18382656249999996</v>
      </c>
      <c r="G102" s="19">
        <f t="shared" ref="G102:G107" si="397">G84</f>
        <v>0.42874999999999996</v>
      </c>
      <c r="H102" s="87">
        <f>G93</f>
        <v>4</v>
      </c>
      <c r="J102" s="19">
        <v>46</v>
      </c>
      <c r="K102" s="77">
        <f t="shared" si="116"/>
        <v>0.82349399999999939</v>
      </c>
      <c r="L102" s="78">
        <f t="shared" si="108"/>
        <v>8.4394748533229915</v>
      </c>
      <c r="N102" s="19">
        <v>3</v>
      </c>
      <c r="O102" s="77">
        <f t="shared" ref="O102:S102" si="398">O93</f>
        <v>4096</v>
      </c>
      <c r="P102" s="19">
        <f t="shared" si="398"/>
        <v>1024</v>
      </c>
      <c r="Q102" s="19">
        <f t="shared" si="398"/>
        <v>256</v>
      </c>
      <c r="R102" s="19">
        <f t="shared" si="398"/>
        <v>64</v>
      </c>
      <c r="S102" s="19">
        <f t="shared" si="398"/>
        <v>16</v>
      </c>
      <c r="T102" s="19">
        <f t="shared" ref="T102:T107" si="399">T84</f>
        <v>4</v>
      </c>
      <c r="U102" s="87">
        <f>T93</f>
        <v>453.21249983708327</v>
      </c>
      <c r="W102" s="19">
        <v>46</v>
      </c>
      <c r="X102" s="77">
        <f t="shared" si="118"/>
        <v>8.4000000000000021</v>
      </c>
      <c r="Y102" s="78">
        <f t="shared" si="110"/>
        <v>240.71228898457593</v>
      </c>
      <c r="AA102" s="19">
        <v>3</v>
      </c>
      <c r="AB102" s="77">
        <f t="shared" ref="AB102:AF102" si="400">AB93</f>
        <v>6.2119048992555544E-3</v>
      </c>
      <c r="AC102" s="19">
        <f t="shared" si="400"/>
        <v>1.448840792829284E-2</v>
      </c>
      <c r="AD102" s="19">
        <f t="shared" si="400"/>
        <v>3.3792205080566393E-2</v>
      </c>
      <c r="AE102" s="19">
        <f t="shared" si="400"/>
        <v>7.881563867187498E-2</v>
      </c>
      <c r="AF102" s="19">
        <f t="shared" si="400"/>
        <v>0.18382656249999996</v>
      </c>
      <c r="AG102" s="19">
        <f t="shared" ref="AG102:AG107" si="401">AG84</f>
        <v>0.42874999999999996</v>
      </c>
      <c r="AH102" s="87">
        <f>AG93</f>
        <v>49.947999999999993</v>
      </c>
      <c r="AJ102" s="19">
        <v>46</v>
      </c>
      <c r="AK102" s="77">
        <f t="shared" si="120"/>
        <v>0.82349399999999939</v>
      </c>
      <c r="AL102" s="78">
        <f t="shared" si="112"/>
        <v>14.608434350970128</v>
      </c>
      <c r="AN102" s="19">
        <v>3</v>
      </c>
      <c r="AO102" s="77">
        <f t="shared" ref="AO102:AS102" si="402">AO93</f>
        <v>15527753148.754057</v>
      </c>
      <c r="AP102" s="19">
        <f t="shared" si="402"/>
        <v>310878376.48662728</v>
      </c>
      <c r="AQ102" s="19">
        <f t="shared" si="402"/>
        <v>6224040.5318857078</v>
      </c>
      <c r="AR102" s="19">
        <f t="shared" si="402"/>
        <v>124610.40545939194</v>
      </c>
      <c r="AS102" s="19">
        <f t="shared" si="402"/>
        <v>2494.8027039999993</v>
      </c>
      <c r="AT102" s="19">
        <f t="shared" ref="AT102:AT107" si="403">AT84</f>
        <v>49.947999999999993</v>
      </c>
      <c r="AU102" s="87">
        <f>AT93</f>
        <v>0.42874999999999996</v>
      </c>
      <c r="AW102" s="19">
        <v>46</v>
      </c>
      <c r="AX102" s="77">
        <f t="shared" si="122"/>
        <v>61.061429999999923</v>
      </c>
      <c r="AY102" s="78">
        <f t="shared" si="102"/>
        <v>0.10812829051073058</v>
      </c>
      <c r="AZ102" s="19">
        <f t="shared" si="123"/>
        <v>-1.2253666775889016E-2</v>
      </c>
      <c r="BA102" s="19">
        <v>3</v>
      </c>
      <c r="BB102" s="77">
        <f t="shared" ref="BB102:BF102" si="404">BB93</f>
        <v>4096</v>
      </c>
      <c r="BC102" s="19">
        <f t="shared" si="404"/>
        <v>1024</v>
      </c>
      <c r="BD102" s="19">
        <f t="shared" si="404"/>
        <v>256</v>
      </c>
      <c r="BE102" s="19">
        <f t="shared" si="404"/>
        <v>64</v>
      </c>
      <c r="BF102" s="19">
        <f t="shared" si="404"/>
        <v>16</v>
      </c>
      <c r="BG102" s="19">
        <f t="shared" ref="BG102:BG107" si="405">BG84</f>
        <v>4</v>
      </c>
      <c r="BH102" s="87">
        <f>BG93</f>
        <v>9.073686630837738</v>
      </c>
      <c r="BJ102" s="19">
        <v>46</v>
      </c>
      <c r="BK102" s="77">
        <f t="shared" si="125"/>
        <v>8.4000000000000021</v>
      </c>
      <c r="BL102" s="78">
        <f t="shared" si="106"/>
        <v>12.835421967959746</v>
      </c>
    </row>
    <row r="103" spans="1:64">
      <c r="A103" s="19">
        <v>4</v>
      </c>
      <c r="B103" s="77">
        <f t="shared" ref="B103:F103" si="406">B94</f>
        <v>1.6720708047084056E-2</v>
      </c>
      <c r="C103" s="19">
        <f t="shared" si="406"/>
        <v>3.3065788734148199E-2</v>
      </c>
      <c r="D103" s="19">
        <f t="shared" si="406"/>
        <v>6.5388761141726398E-2</v>
      </c>
      <c r="E103" s="19">
        <f t="shared" si="406"/>
        <v>0.12930857685043193</v>
      </c>
      <c r="F103" s="19">
        <f t="shared" si="406"/>
        <v>0.25571226239999989</v>
      </c>
      <c r="G103" s="19">
        <f t="shared" si="397"/>
        <v>0.50567999999999991</v>
      </c>
      <c r="H103" s="87">
        <f t="shared" ref="H103:H107" si="407">G94</f>
        <v>5</v>
      </c>
      <c r="J103" s="19">
        <v>47</v>
      </c>
      <c r="K103" s="77">
        <f t="shared" si="116"/>
        <v>0.83421519999999938</v>
      </c>
      <c r="L103" s="78">
        <f t="shared" si="108"/>
        <v>8.5277601219575274</v>
      </c>
      <c r="N103" s="19">
        <v>4</v>
      </c>
      <c r="O103" s="77">
        <f t="shared" ref="O103:S103" si="408">O94</f>
        <v>15625</v>
      </c>
      <c r="P103" s="19">
        <f t="shared" si="408"/>
        <v>3125</v>
      </c>
      <c r="Q103" s="19">
        <f t="shared" si="408"/>
        <v>625</v>
      </c>
      <c r="R103" s="19">
        <f t="shared" si="408"/>
        <v>125</v>
      </c>
      <c r="S103" s="19">
        <f t="shared" si="408"/>
        <v>25</v>
      </c>
      <c r="T103" s="19">
        <f t="shared" si="399"/>
        <v>5</v>
      </c>
      <c r="U103" s="87">
        <f t="shared" ref="U103:U107" si="409">T94</f>
        <v>378.18911451079146</v>
      </c>
      <c r="W103" s="19">
        <v>47</v>
      </c>
      <c r="X103" s="77">
        <f t="shared" si="118"/>
        <v>8.5200000000000014</v>
      </c>
      <c r="Y103" s="78">
        <f t="shared" si="110"/>
        <v>237.5660775891829</v>
      </c>
      <c r="AA103" s="19">
        <v>4</v>
      </c>
      <c r="AB103" s="77">
        <f t="shared" ref="AB103:AF103" si="410">AB94</f>
        <v>1.6720708047084056E-2</v>
      </c>
      <c r="AC103" s="19">
        <f t="shared" si="410"/>
        <v>3.3065788734148199E-2</v>
      </c>
      <c r="AD103" s="19">
        <f t="shared" si="410"/>
        <v>6.5388761141726398E-2</v>
      </c>
      <c r="AE103" s="19">
        <f t="shared" si="410"/>
        <v>0.12930857685043193</v>
      </c>
      <c r="AF103" s="19">
        <f t="shared" si="410"/>
        <v>0.25571226239999989</v>
      </c>
      <c r="AG103" s="19">
        <f t="shared" si="401"/>
        <v>0.50567999999999991</v>
      </c>
      <c r="AH103" s="87">
        <f t="shared" ref="AH103:AH107" si="411">AG94</f>
        <v>44.953199999999995</v>
      </c>
      <c r="AJ103" s="19">
        <v>47</v>
      </c>
      <c r="AK103" s="77">
        <f t="shared" si="120"/>
        <v>0.83421519999999938</v>
      </c>
      <c r="AL103" s="78">
        <f t="shared" si="112"/>
        <v>13.24817455772245</v>
      </c>
      <c r="AN103" s="19">
        <v>4</v>
      </c>
      <c r="AO103" s="77">
        <f t="shared" ref="AO103:AS103" si="412">AO94</f>
        <v>8252084661.1270084</v>
      </c>
      <c r="AP103" s="19">
        <f t="shared" si="412"/>
        <v>183570572.53158861</v>
      </c>
      <c r="AQ103" s="19">
        <f t="shared" si="412"/>
        <v>4083592.9929702142</v>
      </c>
      <c r="AR103" s="19">
        <f t="shared" si="412"/>
        <v>90840.985579896747</v>
      </c>
      <c r="AS103" s="19">
        <f t="shared" si="412"/>
        <v>2020.7901902399997</v>
      </c>
      <c r="AT103" s="19">
        <f t="shared" si="403"/>
        <v>44.953199999999995</v>
      </c>
      <c r="AU103" s="87">
        <f t="shared" ref="AU103:AU107" si="413">AT94</f>
        <v>0.50567999999999991</v>
      </c>
      <c r="AW103" s="19">
        <v>47</v>
      </c>
      <c r="AX103" s="77">
        <f t="shared" si="122"/>
        <v>62.08536399999992</v>
      </c>
      <c r="AY103" s="78">
        <f t="shared" si="102"/>
        <v>0.10938205147251856</v>
      </c>
      <c r="AZ103" s="19">
        <f t="shared" si="123"/>
        <v>1.2537609617879752E-3</v>
      </c>
      <c r="BA103" s="19">
        <v>4</v>
      </c>
      <c r="BB103" s="77">
        <f t="shared" ref="BB103:BF103" si="414">BB94</f>
        <v>15625</v>
      </c>
      <c r="BC103" s="19">
        <f t="shared" si="414"/>
        <v>3125</v>
      </c>
      <c r="BD103" s="19">
        <f t="shared" si="414"/>
        <v>625</v>
      </c>
      <c r="BE103" s="19">
        <f t="shared" si="414"/>
        <v>125</v>
      </c>
      <c r="BF103" s="19">
        <f t="shared" si="414"/>
        <v>25</v>
      </c>
      <c r="BG103" s="19">
        <f t="shared" si="405"/>
        <v>5</v>
      </c>
      <c r="BH103" s="87">
        <f t="shared" ref="BH103:BH107" si="415">BG94</f>
        <v>8.4129520147796271</v>
      </c>
      <c r="BJ103" s="19">
        <v>47</v>
      </c>
      <c r="BK103" s="77">
        <f t="shared" si="125"/>
        <v>8.5200000000000014</v>
      </c>
      <c r="BL103" s="78">
        <f t="shared" si="106"/>
        <v>13.359358242443022</v>
      </c>
    </row>
    <row r="104" spans="1:64">
      <c r="A104" s="19">
        <v>5</v>
      </c>
      <c r="B104" s="77">
        <f t="shared" ref="B104:F104" si="416">B95</f>
        <v>4.6772761567521089E-2</v>
      </c>
      <c r="C104" s="19">
        <f t="shared" si="416"/>
        <v>7.7922135056261707E-2</v>
      </c>
      <c r="D104" s="19">
        <f t="shared" si="416"/>
        <v>0.12981613503750389</v>
      </c>
      <c r="E104" s="19">
        <f t="shared" si="416"/>
        <v>0.21627011251562495</v>
      </c>
      <c r="F104" s="19">
        <f t="shared" si="416"/>
        <v>0.36030006249999996</v>
      </c>
      <c r="G104" s="19">
        <f t="shared" si="397"/>
        <v>0.60024999999999995</v>
      </c>
      <c r="H104" s="87">
        <f t="shared" si="407"/>
        <v>6</v>
      </c>
      <c r="J104" s="19">
        <v>48</v>
      </c>
      <c r="K104" s="77">
        <f t="shared" si="116"/>
        <v>0.84493639999999937</v>
      </c>
      <c r="L104" s="78">
        <f t="shared" si="108"/>
        <v>8.6223068513573082</v>
      </c>
      <c r="N104" s="19">
        <v>5</v>
      </c>
      <c r="O104" s="77">
        <f t="shared" ref="O104:S104" si="417">O95</f>
        <v>46656</v>
      </c>
      <c r="P104" s="19">
        <f t="shared" si="417"/>
        <v>7776</v>
      </c>
      <c r="Q104" s="19">
        <f t="shared" si="417"/>
        <v>1296</v>
      </c>
      <c r="R104" s="19">
        <f t="shared" si="417"/>
        <v>216</v>
      </c>
      <c r="S104" s="19">
        <f t="shared" si="417"/>
        <v>36</v>
      </c>
      <c r="T104" s="19">
        <f t="shared" si="399"/>
        <v>6</v>
      </c>
      <c r="U104" s="87">
        <f t="shared" si="409"/>
        <v>323.72321416934517</v>
      </c>
      <c r="W104" s="19">
        <v>48</v>
      </c>
      <c r="X104" s="77">
        <f t="shared" si="118"/>
        <v>8.64</v>
      </c>
      <c r="Y104" s="78">
        <f t="shared" si="110"/>
        <v>234.5204657275408</v>
      </c>
      <c r="AA104" s="19">
        <v>5</v>
      </c>
      <c r="AB104" s="77">
        <f t="shared" ref="AB104:AF104" si="418">AB95</f>
        <v>4.6772761567521089E-2</v>
      </c>
      <c r="AC104" s="19">
        <f t="shared" si="418"/>
        <v>7.7922135056261707E-2</v>
      </c>
      <c r="AD104" s="19">
        <f t="shared" si="418"/>
        <v>0.12981613503750389</v>
      </c>
      <c r="AE104" s="19">
        <f t="shared" si="418"/>
        <v>0.21627011251562495</v>
      </c>
      <c r="AF104" s="19">
        <f t="shared" si="418"/>
        <v>0.36030006249999996</v>
      </c>
      <c r="AG104" s="19">
        <f t="shared" si="401"/>
        <v>0.60024999999999995</v>
      </c>
      <c r="AH104" s="87">
        <f t="shared" si="411"/>
        <v>30.855377000000001</v>
      </c>
      <c r="AJ104" s="19">
        <v>48</v>
      </c>
      <c r="AK104" s="77">
        <f t="shared" si="120"/>
        <v>0.84493639999999937</v>
      </c>
      <c r="AL104" s="78">
        <f t="shared" si="112"/>
        <v>12.320723878363424</v>
      </c>
      <c r="AN104" s="19">
        <v>5</v>
      </c>
      <c r="AO104" s="77">
        <f t="shared" ref="AO104:AS104" si="419">AO95</f>
        <v>862949025.63956308</v>
      </c>
      <c r="AP104" s="19">
        <f t="shared" si="419"/>
        <v>27967541.140060067</v>
      </c>
      <c r="AQ104" s="19">
        <f t="shared" si="419"/>
        <v>906407.3707496773</v>
      </c>
      <c r="AR104" s="19">
        <f t="shared" si="419"/>
        <v>29375.994036620501</v>
      </c>
      <c r="AS104" s="19">
        <f t="shared" si="419"/>
        <v>952.05428981212901</v>
      </c>
      <c r="AT104" s="19">
        <f t="shared" si="403"/>
        <v>30.855377000000001</v>
      </c>
      <c r="AU104" s="87">
        <f t="shared" si="413"/>
        <v>0.60024999999999995</v>
      </c>
      <c r="AW104" s="19">
        <v>48</v>
      </c>
      <c r="AX104" s="77">
        <f t="shared" si="122"/>
        <v>63.109297999999917</v>
      </c>
      <c r="AY104" s="78">
        <f t="shared" si="102"/>
        <v>0.12824645635251009</v>
      </c>
      <c r="AZ104" s="19">
        <f t="shared" si="123"/>
        <v>1.8864404879991525E-2</v>
      </c>
      <c r="BA104" s="19">
        <v>5</v>
      </c>
      <c r="BB104" s="77">
        <f t="shared" ref="BB104:BF104" si="420">BB95</f>
        <v>46656</v>
      </c>
      <c r="BC104" s="19">
        <f t="shared" si="420"/>
        <v>7776</v>
      </c>
      <c r="BD104" s="19">
        <f t="shared" si="420"/>
        <v>1296</v>
      </c>
      <c r="BE104" s="19">
        <f t="shared" si="420"/>
        <v>216</v>
      </c>
      <c r="BF104" s="19">
        <f t="shared" si="420"/>
        <v>36</v>
      </c>
      <c r="BG104" s="19">
        <f t="shared" si="405"/>
        <v>6</v>
      </c>
      <c r="BH104" s="87">
        <f t="shared" si="415"/>
        <v>10.491630491805211</v>
      </c>
      <c r="BJ104" s="19">
        <v>48</v>
      </c>
      <c r="BK104" s="77">
        <f t="shared" si="125"/>
        <v>8.64</v>
      </c>
      <c r="BL104" s="78">
        <f t="shared" si="106"/>
        <v>13.889339487256848</v>
      </c>
    </row>
    <row r="105" spans="1:64">
      <c r="A105" s="19">
        <v>6</v>
      </c>
      <c r="B105" s="77">
        <f t="shared" ref="B105:F105" si="421">B96</f>
        <v>0.10244458085321199</v>
      </c>
      <c r="C105" s="19">
        <f t="shared" si="421"/>
        <v>0.14976402089528679</v>
      </c>
      <c r="D105" s="19">
        <f t="shared" si="421"/>
        <v>0.21894044338823282</v>
      </c>
      <c r="E105" s="19">
        <f t="shared" si="421"/>
        <v>0.32006965000326415</v>
      </c>
      <c r="F105" s="19">
        <f t="shared" si="421"/>
        <v>0.46791072160000013</v>
      </c>
      <c r="G105" s="19">
        <f t="shared" si="397"/>
        <v>0.68404000000000009</v>
      </c>
      <c r="H105" s="87">
        <f t="shared" si="407"/>
        <v>7</v>
      </c>
      <c r="J105" s="19">
        <v>49</v>
      </c>
      <c r="K105" s="77">
        <f t="shared" si="116"/>
        <v>0.85565759999999935</v>
      </c>
      <c r="L105" s="78">
        <f t="shared" si="108"/>
        <v>8.7281631167473108</v>
      </c>
      <c r="N105" s="19">
        <v>6</v>
      </c>
      <c r="O105" s="77">
        <f t="shared" ref="O105:S105" si="422">O96</f>
        <v>117649</v>
      </c>
      <c r="P105" s="19">
        <f t="shared" si="422"/>
        <v>16807</v>
      </c>
      <c r="Q105" s="19">
        <f t="shared" si="422"/>
        <v>2401</v>
      </c>
      <c r="R105" s="19">
        <f t="shared" si="422"/>
        <v>343</v>
      </c>
      <c r="S105" s="19">
        <f t="shared" si="422"/>
        <v>49</v>
      </c>
      <c r="T105" s="19">
        <f t="shared" si="399"/>
        <v>7</v>
      </c>
      <c r="U105" s="87">
        <f t="shared" si="409"/>
        <v>283.32174408346413</v>
      </c>
      <c r="W105" s="19">
        <v>49</v>
      </c>
      <c r="X105" s="77">
        <f t="shared" si="118"/>
        <v>8.76</v>
      </c>
      <c r="Y105" s="78">
        <f t="shared" si="110"/>
        <v>231.59373299605977</v>
      </c>
      <c r="AA105" s="19">
        <v>6</v>
      </c>
      <c r="AB105" s="77">
        <f t="shared" ref="AB105:AF105" si="423">AB96</f>
        <v>0.10244458085321199</v>
      </c>
      <c r="AC105" s="19">
        <f t="shared" si="423"/>
        <v>0.14976402089528679</v>
      </c>
      <c r="AD105" s="19">
        <f t="shared" si="423"/>
        <v>0.21894044338823282</v>
      </c>
      <c r="AE105" s="19">
        <f t="shared" si="423"/>
        <v>0.32006965000326415</v>
      </c>
      <c r="AF105" s="19">
        <f t="shared" si="423"/>
        <v>0.46791072160000013</v>
      </c>
      <c r="AG105" s="19">
        <f t="shared" si="401"/>
        <v>0.68404000000000009</v>
      </c>
      <c r="AH105" s="87">
        <f t="shared" si="411"/>
        <v>26.2227</v>
      </c>
      <c r="AJ105" s="19">
        <v>49</v>
      </c>
      <c r="AK105" s="77">
        <f t="shared" si="120"/>
        <v>0.85565759999999935</v>
      </c>
      <c r="AL105" s="78">
        <f t="shared" si="112"/>
        <v>12.081553270543736</v>
      </c>
      <c r="AN105" s="19">
        <v>6</v>
      </c>
      <c r="AO105" s="77">
        <f t="shared" ref="AO105:AS105" si="424">AO96</f>
        <v>325135535.98978829</v>
      </c>
      <c r="AP105" s="19">
        <f t="shared" si="424"/>
        <v>12399010.627806759</v>
      </c>
      <c r="AQ105" s="19">
        <f t="shared" si="424"/>
        <v>472835.01042252546</v>
      </c>
      <c r="AR105" s="19">
        <f t="shared" si="424"/>
        <v>18031.515077491084</v>
      </c>
      <c r="AS105" s="19">
        <f t="shared" si="424"/>
        <v>687.62999529000001</v>
      </c>
      <c r="AT105" s="19">
        <f t="shared" si="403"/>
        <v>26.2227</v>
      </c>
      <c r="AU105" s="87">
        <f t="shared" si="413"/>
        <v>0.68404000000000009</v>
      </c>
      <c r="AW105" s="19">
        <v>49</v>
      </c>
      <c r="AX105" s="77">
        <f t="shared" si="122"/>
        <v>64.133231999999921</v>
      </c>
      <c r="AY105" s="78">
        <f t="shared" si="102"/>
        <v>0.16943858013371105</v>
      </c>
      <c r="AZ105" s="19">
        <f t="shared" si="123"/>
        <v>4.1192123781200962E-2</v>
      </c>
      <c r="BA105" s="19">
        <v>6</v>
      </c>
      <c r="BB105" s="77">
        <f t="shared" ref="BB105:BF105" si="425">BB96</f>
        <v>117649</v>
      </c>
      <c r="BC105" s="19">
        <f t="shared" si="425"/>
        <v>16807</v>
      </c>
      <c r="BD105" s="19">
        <f t="shared" si="425"/>
        <v>2401</v>
      </c>
      <c r="BE105" s="19">
        <f t="shared" si="425"/>
        <v>343</v>
      </c>
      <c r="BF105" s="19">
        <f t="shared" si="425"/>
        <v>49</v>
      </c>
      <c r="BG105" s="19">
        <f t="shared" si="405"/>
        <v>7</v>
      </c>
      <c r="BH105" s="87">
        <f t="shared" si="415"/>
        <v>10.804445922176745</v>
      </c>
      <c r="BJ105" s="19">
        <v>49</v>
      </c>
      <c r="BK105" s="77">
        <f t="shared" si="125"/>
        <v>8.76</v>
      </c>
      <c r="BL105" s="78">
        <f t="shared" si="106"/>
        <v>14.388765078619372</v>
      </c>
    </row>
    <row r="106" spans="1:64">
      <c r="A106" s="19">
        <v>7</v>
      </c>
      <c r="B106" s="77">
        <f t="shared" ref="B106:F106" si="426">B97</f>
        <v>0.2112807009001775</v>
      </c>
      <c r="C106" s="19">
        <f t="shared" si="426"/>
        <v>0.27376831992248463</v>
      </c>
      <c r="D106" s="19">
        <f t="shared" si="426"/>
        <v>0.35473705205375394</v>
      </c>
      <c r="E106" s="19">
        <f t="shared" si="426"/>
        <v>0.45965280473437503</v>
      </c>
      <c r="F106" s="19">
        <f t="shared" si="426"/>
        <v>0.59559806250000003</v>
      </c>
      <c r="G106" s="19">
        <f t="shared" si="397"/>
        <v>0.77175000000000005</v>
      </c>
      <c r="H106" s="87">
        <f t="shared" si="407"/>
        <v>8</v>
      </c>
      <c r="J106" s="19">
        <v>50</v>
      </c>
      <c r="K106" s="77">
        <f t="shared" si="116"/>
        <v>0.86637879999999934</v>
      </c>
      <c r="L106" s="78">
        <f t="shared" si="108"/>
        <v>8.851551395523785</v>
      </c>
      <c r="N106" s="19">
        <v>7</v>
      </c>
      <c r="O106" s="77">
        <f t="shared" ref="O106:S106" si="427">O97</f>
        <v>262144</v>
      </c>
      <c r="P106" s="19">
        <f t="shared" si="427"/>
        <v>32768</v>
      </c>
      <c r="Q106" s="19">
        <f t="shared" si="427"/>
        <v>4096</v>
      </c>
      <c r="R106" s="19">
        <f t="shared" si="427"/>
        <v>512</v>
      </c>
      <c r="S106" s="19">
        <f t="shared" si="427"/>
        <v>64</v>
      </c>
      <c r="T106" s="19">
        <f t="shared" si="399"/>
        <v>8</v>
      </c>
      <c r="U106" s="87">
        <f t="shared" si="409"/>
        <v>251.7847221317129</v>
      </c>
      <c r="W106" s="19">
        <v>50</v>
      </c>
      <c r="X106" s="77">
        <f t="shared" si="118"/>
        <v>8.879999999999999</v>
      </c>
      <c r="Y106" s="78">
        <f t="shared" si="110"/>
        <v>228.80961025455872</v>
      </c>
      <c r="AA106" s="19">
        <v>7</v>
      </c>
      <c r="AB106" s="77">
        <f t="shared" ref="AB106:AF106" si="428">AB97</f>
        <v>0.2112807009001775</v>
      </c>
      <c r="AC106" s="19">
        <f t="shared" si="428"/>
        <v>0.27376831992248463</v>
      </c>
      <c r="AD106" s="19">
        <f t="shared" si="428"/>
        <v>0.35473705205375394</v>
      </c>
      <c r="AE106" s="19">
        <f t="shared" si="428"/>
        <v>0.45965280473437503</v>
      </c>
      <c r="AF106" s="19">
        <f t="shared" si="428"/>
        <v>0.59559806250000003</v>
      </c>
      <c r="AG106" s="19">
        <f t="shared" si="401"/>
        <v>0.77175000000000005</v>
      </c>
      <c r="AH106" s="87">
        <f t="shared" si="411"/>
        <v>22.039554999999996</v>
      </c>
      <c r="AJ106" s="19">
        <v>50</v>
      </c>
      <c r="AK106" s="77">
        <f t="shared" si="120"/>
        <v>0.86637879999999934</v>
      </c>
      <c r="AL106" s="78">
        <f t="shared" si="112"/>
        <v>12.843749575387847</v>
      </c>
      <c r="AN106" s="19">
        <v>7</v>
      </c>
      <c r="AO106" s="77">
        <f t="shared" ref="AO106:AS106" si="429">AO97</f>
        <v>114608526.42706832</v>
      </c>
      <c r="AP106" s="19">
        <f t="shared" si="429"/>
        <v>5200128.8786034174</v>
      </c>
      <c r="AQ106" s="19">
        <f t="shared" si="429"/>
        <v>235945.2756012278</v>
      </c>
      <c r="AR106" s="19">
        <f t="shared" si="429"/>
        <v>10705.53718535732</v>
      </c>
      <c r="AS106" s="19">
        <f t="shared" si="429"/>
        <v>485.74198459802483</v>
      </c>
      <c r="AT106" s="19">
        <f t="shared" si="403"/>
        <v>22.039554999999996</v>
      </c>
      <c r="AU106" s="87">
        <f t="shared" si="413"/>
        <v>0.77175000000000005</v>
      </c>
      <c r="AW106" s="19">
        <v>50</v>
      </c>
      <c r="AX106" s="77">
        <f t="shared" si="122"/>
        <v>65.157165999999918</v>
      </c>
      <c r="AY106" s="78">
        <f t="shared" si="102"/>
        <v>0.23833847712324796</v>
      </c>
      <c r="AZ106" s="19">
        <f t="shared" si="123"/>
        <v>6.8899896989536913E-2</v>
      </c>
      <c r="BA106" s="19">
        <v>7</v>
      </c>
      <c r="BB106" s="77">
        <f t="shared" ref="BB106:BF106" si="430">BB97</f>
        <v>262144</v>
      </c>
      <c r="BC106" s="19">
        <f t="shared" si="430"/>
        <v>32768</v>
      </c>
      <c r="BD106" s="19">
        <f t="shared" si="430"/>
        <v>4096</v>
      </c>
      <c r="BE106" s="19">
        <f t="shared" si="430"/>
        <v>512</v>
      </c>
      <c r="BF106" s="19">
        <f t="shared" si="430"/>
        <v>64</v>
      </c>
      <c r="BG106" s="19">
        <f t="shared" si="405"/>
        <v>8</v>
      </c>
      <c r="BH106" s="87">
        <f t="shared" si="415"/>
        <v>11.424219868854564</v>
      </c>
      <c r="BJ106" s="19">
        <v>50</v>
      </c>
      <c r="BK106" s="77">
        <f t="shared" si="125"/>
        <v>8.879999999999999</v>
      </c>
      <c r="BL106" s="78">
        <f t="shared" si="106"/>
        <v>14.810495350771134</v>
      </c>
    </row>
    <row r="107" spans="1:64">
      <c r="A107" s="19">
        <v>8</v>
      </c>
      <c r="B107" s="79">
        <f t="shared" ref="B107:F107" si="431">B98</f>
        <v>0.45529687141342695</v>
      </c>
      <c r="C107" s="80">
        <f t="shared" si="431"/>
        <v>0.51909345731778245</v>
      </c>
      <c r="D107" s="80">
        <f t="shared" si="431"/>
        <v>0.59182927524544804</v>
      </c>
      <c r="E107" s="80">
        <f t="shared" si="431"/>
        <v>0.67475689801099992</v>
      </c>
      <c r="F107" s="80">
        <f t="shared" si="431"/>
        <v>0.76930440999999994</v>
      </c>
      <c r="G107" s="80">
        <f t="shared" si="397"/>
        <v>0.87709999999999999</v>
      </c>
      <c r="H107" s="89">
        <f t="shared" si="407"/>
        <v>9</v>
      </c>
      <c r="J107" s="19">
        <v>51</v>
      </c>
      <c r="K107" s="79">
        <f>LARGE(K48:K54,1)</f>
        <v>0.87709999999999999</v>
      </c>
      <c r="L107" s="81">
        <f t="shared" si="108"/>
        <v>8.999999995888885</v>
      </c>
      <c r="N107" s="19">
        <v>8</v>
      </c>
      <c r="O107" s="79">
        <f t="shared" ref="O107:S107" si="432">O98</f>
        <v>531441</v>
      </c>
      <c r="P107" s="80">
        <f t="shared" si="432"/>
        <v>59049</v>
      </c>
      <c r="Q107" s="80">
        <f t="shared" si="432"/>
        <v>6561</v>
      </c>
      <c r="R107" s="80">
        <f t="shared" si="432"/>
        <v>729</v>
      </c>
      <c r="S107" s="80">
        <f t="shared" si="432"/>
        <v>81</v>
      </c>
      <c r="T107" s="80">
        <f t="shared" si="399"/>
        <v>9</v>
      </c>
      <c r="U107" s="89">
        <f t="shared" si="409"/>
        <v>226.19791658535507</v>
      </c>
      <c r="W107" s="19">
        <v>51</v>
      </c>
      <c r="X107" s="79">
        <f>LARGE(X48:X54,1)</f>
        <v>9</v>
      </c>
      <c r="Y107" s="81">
        <f t="shared" si="110"/>
        <v>226.19791660574265</v>
      </c>
      <c r="AA107" s="19">
        <v>8</v>
      </c>
      <c r="AB107" s="79">
        <f t="shared" ref="AB107:AF107" si="433">AB98</f>
        <v>0.45529687141342695</v>
      </c>
      <c r="AC107" s="80">
        <f t="shared" si="433"/>
        <v>0.51909345731778245</v>
      </c>
      <c r="AD107" s="80">
        <f t="shared" si="433"/>
        <v>0.59182927524544804</v>
      </c>
      <c r="AE107" s="80">
        <f t="shared" si="433"/>
        <v>0.67475689801099992</v>
      </c>
      <c r="AF107" s="80">
        <f t="shared" si="433"/>
        <v>0.76930440999999994</v>
      </c>
      <c r="AG107" s="80">
        <f t="shared" si="401"/>
        <v>0.87709999999999999</v>
      </c>
      <c r="AH107" s="89">
        <f t="shared" si="411"/>
        <v>14.984399999999999</v>
      </c>
      <c r="AJ107" s="19">
        <v>51</v>
      </c>
      <c r="AK107" s="79">
        <f>LARGE(AK48:AK54,1)</f>
        <v>0.87709999999999999</v>
      </c>
      <c r="AL107" s="78">
        <f t="shared" si="112"/>
        <v>14.984400184925107</v>
      </c>
      <c r="AN107" s="19">
        <v>8</v>
      </c>
      <c r="AO107" s="79">
        <f t="shared" ref="AO107:AS107" si="434">AO98</f>
        <v>11319732.045441713</v>
      </c>
      <c r="AP107" s="80">
        <f t="shared" si="434"/>
        <v>755434.45486250462</v>
      </c>
      <c r="AQ107" s="80">
        <f t="shared" si="434"/>
        <v>50414.728308274251</v>
      </c>
      <c r="AR107" s="80">
        <f t="shared" si="434"/>
        <v>3364.4809474035833</v>
      </c>
      <c r="AS107" s="80">
        <f t="shared" si="434"/>
        <v>224.53224335999997</v>
      </c>
      <c r="AT107" s="80">
        <f t="shared" si="403"/>
        <v>14.984399999999999</v>
      </c>
      <c r="AU107" s="89">
        <f t="shared" si="413"/>
        <v>0.87709999999999999</v>
      </c>
      <c r="AW107" s="19">
        <v>51</v>
      </c>
      <c r="AX107" s="79">
        <f>LARGE(AX48:AX54,1)</f>
        <v>66.181100000000001</v>
      </c>
      <c r="AY107" s="78">
        <f t="shared" si="102"/>
        <v>0.34103999989050826</v>
      </c>
      <c r="AZ107" s="19">
        <f t="shared" si="123"/>
        <v>0.1027015227672603</v>
      </c>
      <c r="BA107" s="19">
        <v>8</v>
      </c>
      <c r="BB107" s="79">
        <f t="shared" ref="BB107:BF107" si="435">BB98</f>
        <v>531441</v>
      </c>
      <c r="BC107" s="80">
        <f t="shared" si="435"/>
        <v>59049</v>
      </c>
      <c r="BD107" s="80">
        <f t="shared" si="435"/>
        <v>6561</v>
      </c>
      <c r="BE107" s="80">
        <f t="shared" si="435"/>
        <v>729</v>
      </c>
      <c r="BF107" s="80">
        <f t="shared" si="435"/>
        <v>81</v>
      </c>
      <c r="BG107" s="80">
        <f t="shared" si="405"/>
        <v>9</v>
      </c>
      <c r="BH107" s="89">
        <f t="shared" si="415"/>
        <v>15.095560488598482</v>
      </c>
      <c r="BJ107" s="19">
        <v>51</v>
      </c>
      <c r="BK107" s="79">
        <f>LARGE(BK48:BK54,1)</f>
        <v>9</v>
      </c>
      <c r="BL107" s="78">
        <f t="shared" si="106"/>
        <v>15.095560521858033</v>
      </c>
    </row>
  </sheetData>
  <mergeCells count="28">
    <mergeCell ref="BA34:BL35"/>
    <mergeCell ref="BK37:BK43"/>
    <mergeCell ref="BK46:BL46"/>
    <mergeCell ref="BK56:BL56"/>
    <mergeCell ref="AK56:AL56"/>
    <mergeCell ref="AN34:AY35"/>
    <mergeCell ref="AX37:AX43"/>
    <mergeCell ref="AX46:AY46"/>
    <mergeCell ref="AX56:AY56"/>
    <mergeCell ref="G5:G6"/>
    <mergeCell ref="H5:H6"/>
    <mergeCell ref="AA34:AL35"/>
    <mergeCell ref="AK37:AK43"/>
    <mergeCell ref="AK46:AL46"/>
    <mergeCell ref="N34:Y35"/>
    <mergeCell ref="X37:X43"/>
    <mergeCell ref="X46:Y46"/>
    <mergeCell ref="B5:B6"/>
    <mergeCell ref="A5:A6"/>
    <mergeCell ref="C5:C6"/>
    <mergeCell ref="D5:D6"/>
    <mergeCell ref="F5:F6"/>
    <mergeCell ref="E5:E6"/>
    <mergeCell ref="X56:Y56"/>
    <mergeCell ref="K37:K43"/>
    <mergeCell ref="K46:L46"/>
    <mergeCell ref="K56:L56"/>
    <mergeCell ref="A34:L35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9996-076D-44D2-86DF-C6FB5A5CB803}">
  <dimension ref="B1:Z31"/>
  <sheetViews>
    <sheetView view="pageBreakPreview" topLeftCell="A6" zoomScale="115" zoomScaleNormal="100" zoomScaleSheetLayoutView="115" workbookViewId="0">
      <selection activeCell="T7" sqref="T7:V7"/>
    </sheetView>
  </sheetViews>
  <sheetFormatPr defaultColWidth="9.125" defaultRowHeight="15.75"/>
  <cols>
    <col min="1" max="2" width="9.125" style="27"/>
    <col min="3" max="12" width="9.125" style="27" hidden="1" customWidth="1"/>
    <col min="13" max="18" width="16.125" style="27" customWidth="1"/>
    <col min="19" max="26" width="13.375" style="27" customWidth="1"/>
    <col min="27" max="16384" width="9.125" style="27"/>
  </cols>
  <sheetData>
    <row r="1" spans="2:26" ht="16.5" thickBot="1"/>
    <row r="2" spans="2:26" ht="28.5" customHeight="1">
      <c r="B2" s="49"/>
      <c r="C2" s="50"/>
      <c r="D2" s="50"/>
      <c r="E2" s="50"/>
      <c r="F2" s="50"/>
      <c r="G2" s="50"/>
      <c r="H2" s="50"/>
      <c r="I2" s="50"/>
      <c r="J2" s="50"/>
      <c r="K2" s="50"/>
      <c r="L2" s="50"/>
      <c r="M2" s="49" t="str">
        <f>IF('Cadastro de Insumos'!O34=FALSE,"","p1")</f>
        <v>p1</v>
      </c>
      <c r="N2" s="260" t="str">
        <f>IF(M2="","",'Cadastro de Insumos'!E34&amp;" - "&amp;'Cadastro de Insumos'!E35&amp;" - "&amp;'Cadastro de Insumos'!E36)</f>
        <v>Brita 1 - Serra de São Vicente - Cuiabá-MT</v>
      </c>
      <c r="O2" s="260"/>
      <c r="P2" s="68" t="str">
        <f>IF(M2="","","Quantidade (kg)")</f>
        <v>Quantidade (kg)</v>
      </c>
      <c r="Q2" s="71">
        <f>IF(M2="","",'Escopo de Estudo'!D30*'Cadastro de Insumos'!P34)</f>
        <v>12</v>
      </c>
      <c r="R2" s="50"/>
      <c r="S2" s="50"/>
      <c r="T2" s="49" t="str">
        <f>IF('Cadastro de Insumos'!O42=FALSE,"","p3")</f>
        <v/>
      </c>
      <c r="U2" s="248" t="str">
        <f>IF(T2="","",'Cadastro de Insumos'!E42&amp;" - "&amp;'Cadastro de Insumos'!E43&amp;" - "&amp;'Cadastro de Insumos'!E44)</f>
        <v/>
      </c>
      <c r="V2" s="248"/>
      <c r="W2" s="248"/>
      <c r="X2" s="68" t="str">
        <f>IF(U2="","","Quantidade (kg)")</f>
        <v/>
      </c>
      <c r="Y2" s="51" t="str">
        <f>IF(T2="","",'Escopo de Estudo'!D30*'Cadastro de Insumos'!P42)</f>
        <v/>
      </c>
      <c r="Z2" s="51"/>
    </row>
    <row r="3" spans="2:26" ht="28.5" customHeight="1" thickBot="1">
      <c r="B3" s="52"/>
      <c r="M3" s="59" t="str">
        <f>IF('Cadastro de Insumos'!O38=FALSE,"","p2")</f>
        <v>p2</v>
      </c>
      <c r="N3" s="261" t="str">
        <f>IF(M3="","",'Cadastro de Insumos'!E38&amp;" - "&amp;'Cadastro de Insumos'!E39&amp;" - "&amp;'Cadastro de Insumos'!E40)</f>
        <v>Brita 0 - Serra de São Vicente - Cuiabá-MT</v>
      </c>
      <c r="O3" s="261"/>
      <c r="P3" s="69" t="str">
        <f>IF(M3="","","Quantidade (kg)")</f>
        <v>Quantidade (kg)</v>
      </c>
      <c r="Q3" s="58">
        <f>IF(M3="","",'Escopo de Estudo'!D30*'Cadastro de Insumos'!P38)</f>
        <v>8</v>
      </c>
      <c r="T3" s="59" t="str">
        <f>IF('Cadastro de Insumos'!O46=FALSE,"","p4")</f>
        <v/>
      </c>
      <c r="U3" s="262" t="str">
        <f>IF(T3="","",'Cadastro de Insumos'!E46&amp;" - "&amp;'Cadastro de Insumos'!E47&amp;" - "&amp;'Cadastro de Insumos'!E48)</f>
        <v/>
      </c>
      <c r="V3" s="262"/>
      <c r="W3" s="262"/>
      <c r="X3" s="69" t="str">
        <f>IF(U3="","","Quantidade (kg)")</f>
        <v/>
      </c>
      <c r="Y3" s="61" t="str">
        <f>IF(T3="","",'Escopo de Estudo'!D30*'Cadastro de Insumos'!P46)</f>
        <v/>
      </c>
      <c r="Z3" s="53"/>
    </row>
    <row r="4" spans="2:26" ht="15.75" customHeight="1" thickBot="1">
      <c r="B4" s="52"/>
      <c r="Z4" s="53"/>
    </row>
    <row r="5" spans="2:26" ht="28.5" customHeight="1">
      <c r="B5" s="47" t="s">
        <v>81</v>
      </c>
      <c r="M5" s="49" t="str">
        <f>M10</f>
        <v>CP</v>
      </c>
      <c r="N5" s="254" t="str">
        <f>IF(M5="","",'Cadastro de Insumos'!E6&amp;" - "&amp;'Cadastro de Insumos'!E7&amp;" - "&amp;'Cadastro de Insumos'!E8)</f>
        <v>CP II F 40 - Votorantim - Cuiabá-MT</v>
      </c>
      <c r="O5" s="255"/>
      <c r="P5" s="49" t="str">
        <f>P10</f>
        <v>a1</v>
      </c>
      <c r="Q5" s="254" t="str">
        <f>IF(P5="","",'Cadastro de Insumos'!E20&amp;" - "&amp;'Cadastro de Insumos'!E21&amp;" - "&amp;'Cadastro de Insumos'!E22)</f>
        <v>Areia Natural do Rio Cuiabá - - - Cuiabá - MT</v>
      </c>
      <c r="R5" s="255"/>
      <c r="S5" s="49" t="str">
        <f>S10</f>
        <v/>
      </c>
      <c r="T5" s="254" t="str">
        <f>IF(S5="","",'Cadastro de Insumos'!E52&amp;" - "&amp;'Cadastro de Insumos'!E53&amp;" - "&amp;'Cadastro de Insumos'!E54*100&amp;"% - "&amp;'Cadastro de Insumos'!L54)</f>
        <v/>
      </c>
      <c r="U5" s="254"/>
      <c r="V5" s="255"/>
      <c r="W5" s="49" t="str">
        <f>W10</f>
        <v/>
      </c>
      <c r="X5" s="254"/>
      <c r="Y5" s="254"/>
      <c r="Z5" s="255"/>
    </row>
    <row r="6" spans="2:26" ht="28.5" customHeight="1" thickBot="1">
      <c r="B6" s="48">
        <f>'Escopo de Estudo'!D8</f>
        <v>3</v>
      </c>
      <c r="M6" s="52" t="str">
        <f>N10</f>
        <v/>
      </c>
      <c r="N6" s="256" t="str">
        <f>IF(M6="","",'Cadastro de Insumos'!E10&amp;" - "&amp;'Cadastro de Insumos'!E11&amp;" - "&amp;'Cadastro de Insumos'!E12)</f>
        <v/>
      </c>
      <c r="O6" s="257"/>
      <c r="P6" s="52" t="str">
        <f>Q10</f>
        <v/>
      </c>
      <c r="Q6" s="256" t="str">
        <f>IF(P6="","",'Cadastro de Insumos'!E24&amp;" - "&amp;'Cadastro de Insumos'!E25&amp;" - "&amp;'Cadastro de Insumos'!E26)</f>
        <v/>
      </c>
      <c r="R6" s="257"/>
      <c r="S6" s="52" t="str">
        <f>T10</f>
        <v/>
      </c>
      <c r="T6" s="256" t="str">
        <f>IF(S6="","",'Cadastro de Insumos'!E56&amp;" - "&amp;'Cadastro de Insumos'!E57&amp;" - "&amp;'Cadastro de Insumos'!E58*100&amp;"% - "&amp;'Cadastro de Insumos'!L58)</f>
        <v/>
      </c>
      <c r="U6" s="256"/>
      <c r="V6" s="257"/>
      <c r="W6" s="52" t="str">
        <f>X10</f>
        <v/>
      </c>
      <c r="X6" s="256"/>
      <c r="Y6" s="256"/>
      <c r="Z6" s="257"/>
    </row>
    <row r="7" spans="2:26" ht="28.5" customHeight="1" thickBot="1">
      <c r="B7" s="52"/>
      <c r="M7" s="59" t="str">
        <f>O10</f>
        <v/>
      </c>
      <c r="N7" s="258" t="str">
        <f>IF(M7="","",'Cadastro de Insumos'!E14&amp;" - "&amp;'Cadastro de Insumos'!E15&amp;" - "&amp;'Cadastro de Insumos'!E16)</f>
        <v/>
      </c>
      <c r="O7" s="259"/>
      <c r="P7" s="59" t="str">
        <f>R10</f>
        <v/>
      </c>
      <c r="Q7" s="258" t="str">
        <f>IF(P7="","",'Cadastro de Insumos'!E28&amp;" - "&amp;'Cadastro de Insumos'!E29&amp;" - "&amp;'Cadastro de Insumos'!E30)</f>
        <v/>
      </c>
      <c r="R7" s="259"/>
      <c r="S7" s="52" t="str">
        <f>U10</f>
        <v/>
      </c>
      <c r="T7" s="256" t="str">
        <f>IF(S7="","",'Cadastro de Insumos'!E60&amp;" - "&amp;'Cadastro de Insumos'!E61&amp;" - "&amp;'Cadastro de Insumos'!E62*100&amp;"% - "&amp;'Cadastro de Insumos'!L62)</f>
        <v/>
      </c>
      <c r="U7" s="256"/>
      <c r="V7" s="257"/>
      <c r="W7" s="52" t="str">
        <f>Y10</f>
        <v/>
      </c>
      <c r="X7" s="256"/>
      <c r="Y7" s="256"/>
      <c r="Z7" s="257"/>
    </row>
    <row r="8" spans="2:26" ht="28.5" customHeight="1" thickBot="1">
      <c r="B8" s="52"/>
      <c r="M8" s="50"/>
      <c r="N8" s="50"/>
      <c r="O8" s="50"/>
      <c r="Q8" s="50"/>
      <c r="R8" s="53"/>
      <c r="S8" s="59" t="str">
        <f>V10</f>
        <v/>
      </c>
      <c r="T8" s="258" t="str">
        <f>IF(S8="","",'Cadastro de Insumos'!E64&amp;" - "&amp;'Cadastro de Insumos'!E65&amp;" - "&amp;'Cadastro de Insumos'!E66*100&amp;"% - "&amp;'Cadastro de Insumos'!L66)</f>
        <v/>
      </c>
      <c r="U8" s="258"/>
      <c r="V8" s="259"/>
      <c r="W8" s="59" t="str">
        <f>Z10</f>
        <v/>
      </c>
      <c r="X8" s="258"/>
      <c r="Y8" s="258"/>
      <c r="Z8" s="259"/>
    </row>
    <row r="9" spans="2:26">
      <c r="B9" s="250" t="s">
        <v>65</v>
      </c>
      <c r="C9" s="248" t="s">
        <v>121</v>
      </c>
      <c r="D9" s="248"/>
      <c r="E9" s="248"/>
      <c r="F9" s="248"/>
      <c r="G9" s="248"/>
      <c r="H9" s="248"/>
      <c r="I9" s="248"/>
      <c r="J9" s="248"/>
      <c r="K9" s="248"/>
      <c r="L9" s="50"/>
      <c r="M9" s="247" t="s">
        <v>122</v>
      </c>
      <c r="N9" s="248"/>
      <c r="O9" s="249"/>
      <c r="P9" s="247" t="s">
        <v>123</v>
      </c>
      <c r="Q9" s="248"/>
      <c r="R9" s="249"/>
      <c r="S9" s="247" t="s">
        <v>124</v>
      </c>
      <c r="T9" s="248"/>
      <c r="U9" s="248"/>
      <c r="V9" s="249"/>
      <c r="W9" s="247" t="s">
        <v>125</v>
      </c>
      <c r="X9" s="248"/>
      <c r="Y9" s="248"/>
      <c r="Z9" s="249"/>
    </row>
    <row r="10" spans="2:26" ht="16.5" thickBot="1">
      <c r="B10" s="251"/>
      <c r="C10" s="60" t="s">
        <v>79</v>
      </c>
      <c r="D10" s="60" t="s">
        <v>126</v>
      </c>
      <c r="E10" s="60" t="s">
        <v>127</v>
      </c>
      <c r="F10" s="60" t="s">
        <v>128</v>
      </c>
      <c r="G10" s="60" t="s">
        <v>129</v>
      </c>
      <c r="H10" s="60" t="s">
        <v>130</v>
      </c>
      <c r="I10" s="60" t="s">
        <v>131</v>
      </c>
      <c r="J10" s="60" t="s">
        <v>132</v>
      </c>
      <c r="K10" s="60" t="s">
        <v>133</v>
      </c>
      <c r="L10" s="60" t="s">
        <v>134</v>
      </c>
      <c r="M10" s="59" t="s">
        <v>79</v>
      </c>
      <c r="N10" s="60" t="str">
        <f>IF('Cadastro de Insumos'!O10=FALSE,"","MCS1")</f>
        <v/>
      </c>
      <c r="O10" s="61" t="str">
        <f>IF('Cadastro de Insumos'!O14=FALSE,"","MCS2")</f>
        <v/>
      </c>
      <c r="P10" s="59" t="str">
        <f>IF('Cadastro de Insumos'!O20=FALSE,"","a1")</f>
        <v>a1</v>
      </c>
      <c r="Q10" s="60" t="str">
        <f>IF('Cadastro de Insumos'!O24=FALSE,"","a2")</f>
        <v/>
      </c>
      <c r="R10" s="61" t="str">
        <f>IF('Cadastro de Insumos'!O28=FALSE,"","a3")</f>
        <v/>
      </c>
      <c r="S10" s="59" t="str">
        <f>IF('Cadastro de Insumos'!O52=FALSE,"","Adt1"&amp;IF('Cadastro de Insumos'!P52=FALSE," - ml"," - g"))</f>
        <v/>
      </c>
      <c r="T10" s="60" t="str">
        <f>IF('Cadastro de Insumos'!O56=FALSE,"","Adt2"&amp;IF('Cadastro de Insumos'!P56=FALSE," - ml"," - g"))</f>
        <v/>
      </c>
      <c r="U10" s="60" t="str">
        <f>IF('Cadastro de Insumos'!O60=FALSE,"","Adt3"&amp;IF('Cadastro de Insumos'!P60=FALSE," - ml"," - g"))</f>
        <v/>
      </c>
      <c r="V10" s="61" t="str">
        <f>IF('Cadastro de Insumos'!O64=FALSE,"","Adt4"&amp;IF('Cadastro de Insumos'!P64=FALSE," - ml"," - g"))</f>
        <v/>
      </c>
      <c r="W10" s="59" t="str">
        <f>IF('Cadastro de Insumos'!O70=FALSE,"","Adc1"&amp;IF('Cadastro de Insumos'!P70=FALSE," - ml"," - g"))</f>
        <v/>
      </c>
      <c r="X10" s="60" t="str">
        <f>IF('Cadastro de Insumos'!O74=FALSE,"","Adc2"&amp;IF('Cadastro de Insumos'!P74=FALSE," - ml"," - g"))</f>
        <v/>
      </c>
      <c r="Y10" s="60" t="str">
        <f>IF('Cadastro de Insumos'!O78=FALSE,"","Adc4"&amp;IF('Cadastro de Insumos'!P78=FALSE," - ml"," - g"))</f>
        <v/>
      </c>
      <c r="Z10" s="61" t="str">
        <f>IF('Cadastro de Insumos'!O82=FALSE,"","Adc4"&amp;IF('Cadastro de Insumos'!P82=FALSE," - ml"," - g"))</f>
        <v/>
      </c>
    </row>
    <row r="11" spans="2:26" ht="16.5" thickBot="1">
      <c r="B11" s="62">
        <f>'Escopo de Estudo'!J30</f>
        <v>0.51</v>
      </c>
      <c r="C11" s="27">
        <f>1*'Cadastro de Insumos'!$P$6</f>
        <v>1</v>
      </c>
      <c r="D11" s="27">
        <f>1*'Cadastro de Insumos'!$P$10</f>
        <v>0</v>
      </c>
      <c r="E11" s="27">
        <f>1*'Cadastro de Insumos'!$P$14</f>
        <v>0</v>
      </c>
      <c r="F11" s="72">
        <f>(B11*(1+$B$6)-1)*'Cadastro de Insumos'!$P$20</f>
        <v>0.72799999999999998</v>
      </c>
      <c r="G11" s="72">
        <f>(B11*(1+$B$6)-1)*'Cadastro de Insumos'!$P$24</f>
        <v>0</v>
      </c>
      <c r="H11" s="72">
        <f>(B11*(1+$B$6)-1)*'Cadastro de Insumos'!$P$28</f>
        <v>0</v>
      </c>
      <c r="I11" s="72">
        <f>($B$6-(SUM(F11:H11)))*'Cadastro de Insumos'!$P$34</f>
        <v>1.3632000000000002</v>
      </c>
      <c r="J11" s="72">
        <f>($B$6-(SUM(F11:H11)))*'Cadastro de Insumos'!$P$38</f>
        <v>0.90880000000000016</v>
      </c>
      <c r="K11" s="72">
        <f>($B$6-(SUM(F11:H11)))*'Cadastro de Insumos'!$P$42</f>
        <v>0</v>
      </c>
      <c r="L11" s="72">
        <f>($B$6-(SUM(F11:H11)))*'Cadastro de Insumos'!$P$46</f>
        <v>0</v>
      </c>
      <c r="M11" s="54">
        <f>IF(C11=0,"",('Escopo de Estudo'!$D$30/SUM('Ficha de Dosagem - A'!I11:L11))*C11)</f>
        <v>8.8028169014084501</v>
      </c>
      <c r="N11" s="72" t="str">
        <f>IF(N10="","",('Escopo de Estudo'!$D$30/SUM('Ficha de Dosagem - A'!I11:L11))*D11)</f>
        <v/>
      </c>
      <c r="O11" s="55" t="str">
        <f>IF(O10="","",('Escopo de Estudo'!$D$30/SUM('Ficha de Dosagem - A'!I11:L11))*E11)</f>
        <v/>
      </c>
      <c r="P11" s="54">
        <f>IF(F11=0,"",SUM(M11:O11)*F11)</f>
        <v>6.4084507042253511</v>
      </c>
      <c r="Q11" s="72" t="str">
        <f>IF($Q$10="","",SUM(M11:O11)*G11)</f>
        <v/>
      </c>
      <c r="R11" s="55" t="str">
        <f>IF($R$10="","",SUM(M11:O11)*H11)</f>
        <v/>
      </c>
      <c r="S11" s="54" t="str">
        <f>IF('Cadastro de Insumos'!$O$52=FALSE,"",IF('Cadastro de Insumos'!$P$52=FALSE,(('Cadastro de Insumos'!$E$54*M11)/'Cadastro de Insumos'!$L$54)*1000,(('Cadastro de Insumos'!$E$54*M11)*1000)))</f>
        <v/>
      </c>
      <c r="T11" s="72" t="str">
        <f>IF('Cadastro de Insumos'!$O$56=FALSE,"",IF('Cadastro de Insumos'!$P$56=FALSE,(('Cadastro de Insumos'!$E$58*M11)/'Cadastro de Insumos'!$L$58)*1000,(('Cadastro de Insumos'!$E$58*M11)*1000)))</f>
        <v/>
      </c>
      <c r="U11" s="72" t="str">
        <f>IF('Cadastro de Insumos'!$O$60=FALSE,"",IF('Cadastro de Insumos'!$P$60=FALSE,(('Cadastro de Insumos'!$E$62*M11)/'Cadastro de Insumos'!$L$62)*1000,(('Cadastro de Insumos'!$E$62*M11)*1000)))</f>
        <v/>
      </c>
      <c r="V11" s="55" t="str">
        <f>IF('Cadastro de Insumos'!$O$64=FALSE,"",IF('Cadastro de Insumos'!$P$64=FALSE,(('Cadastro de Insumos'!$E$66*M11)/'Cadastro de Insumos'!$L$66)*1000,(('Cadastro de Insumos'!$E$66*M11)*1000)))</f>
        <v/>
      </c>
      <c r="W11" s="54" t="str">
        <f>IF('Cadastro de Insumos'!$O$70=FALSE,"",IF('Cadastro de Insumos'!$P$70=FALSE,(('Cadastro de Insumos'!$E$72*M11)/'Cadastro de Insumos'!$L$72)*1000,(('Cadastro de Insumos'!$E$72*M11)*1000)))</f>
        <v/>
      </c>
      <c r="X11" s="72" t="str">
        <f>IF('Cadastro de Insumos'!$O$74=FALSE,"",IF('Cadastro de Insumos'!$P$74=FALSE,(('Cadastro de Insumos'!$E$76*M11)/'Cadastro de Insumos'!$L$76)*1000,(('Cadastro de Insumos'!$E$76*M11)*1000)))</f>
        <v/>
      </c>
      <c r="Y11" s="72" t="str">
        <f>IF('Cadastro de Insumos'!$O$78=FALSE,"",IF('Cadastro de Insumos'!$P$78=FALSE,(('Cadastro de Insumos'!$E$80*M11)/'Cadastro de Insumos'!$L$80)*1000,(('Cadastro de Insumos'!$E$80*M11)*1000)))</f>
        <v/>
      </c>
      <c r="Z11" s="55" t="str">
        <f>IF('Cadastro de Insumos'!$O$82=FALSE,"",IF('Cadastro de Insumos'!$P$82=FALSE,(('Cadastro de Insumos'!$E$84*M11)/'Cadastro de Insumos'!$L$84)*1000,(('Cadastro de Insumos'!$E$84*M11)*1000)))</f>
        <v/>
      </c>
    </row>
    <row r="12" spans="2:26">
      <c r="B12" s="252">
        <f>B11+0.01</f>
        <v>0.52</v>
      </c>
      <c r="C12" s="50"/>
      <c r="D12" s="50"/>
      <c r="E12" s="50"/>
      <c r="F12" s="63"/>
      <c r="G12" s="63"/>
      <c r="H12" s="63"/>
      <c r="I12" s="63"/>
      <c r="J12" s="63"/>
      <c r="K12" s="63"/>
      <c r="L12" s="63"/>
      <c r="M12" s="64" t="str">
        <f>IF(M13="","","+"&amp;ROUND(M13-M11,3))</f>
        <v>+0,11</v>
      </c>
      <c r="N12" s="65" t="str">
        <f>IF(N13="","","+"&amp;ROUND(N13-N11,3))</f>
        <v/>
      </c>
      <c r="O12" s="66" t="str">
        <f>IF(O13="","","+"&amp;ROUND(O13-O11,3))</f>
        <v/>
      </c>
      <c r="P12" s="64" t="str">
        <f t="shared" ref="P12" si="0">IF(P13="","","+"&amp;ROUND(P13-P11,3))</f>
        <v>+0,33</v>
      </c>
      <c r="Q12" s="65" t="str">
        <f t="shared" ref="Q12" si="1">IF(Q13="","","+"&amp;ROUND(Q13-Q11,3))</f>
        <v/>
      </c>
      <c r="R12" s="67" t="str">
        <f t="shared" ref="R12" si="2">IF(R13="","","+"&amp;ROUND(R13-R11,3))</f>
        <v/>
      </c>
      <c r="S12" s="64" t="str">
        <f t="shared" ref="S12" si="3">IF(S13="","","+"&amp;ROUND(S13-S11,3))</f>
        <v/>
      </c>
      <c r="T12" s="65" t="str">
        <f t="shared" ref="T12" si="4">IF(T13="","","+"&amp;ROUND(T13-T11,3))</f>
        <v/>
      </c>
      <c r="U12" s="65" t="str">
        <f t="shared" ref="U12" si="5">IF(U13="","","+"&amp;ROUND(U13-U11,3))</f>
        <v/>
      </c>
      <c r="V12" s="67" t="str">
        <f t="shared" ref="V12" si="6">IF(V13="","","+"&amp;ROUND(V13-V11,3))</f>
        <v/>
      </c>
      <c r="W12" s="64" t="str">
        <f t="shared" ref="W12" si="7">IF(W13="","","+"&amp;ROUND(W13-W11,3))</f>
        <v/>
      </c>
      <c r="X12" s="65" t="str">
        <f t="shared" ref="X12" si="8">IF(X13="","","+"&amp;ROUND(X13-X11,3))</f>
        <v/>
      </c>
      <c r="Y12" s="65" t="str">
        <f t="shared" ref="Y12" si="9">IF(Y13="","","+"&amp;ROUND(Y13-Y11,3))</f>
        <v/>
      </c>
      <c r="Z12" s="67" t="str">
        <f t="shared" ref="Z12" si="10">IF(Z13="","","+"&amp;ROUND(Z13-Z11,3))</f>
        <v/>
      </c>
    </row>
    <row r="13" spans="2:26" ht="16.5" thickBot="1">
      <c r="B13" s="253"/>
      <c r="C13" s="60">
        <f>1*'Cadastro de Insumos'!$P$6</f>
        <v>1</v>
      </c>
      <c r="D13" s="60">
        <f>1*'Cadastro de Insumos'!$P$10</f>
        <v>0</v>
      </c>
      <c r="E13" s="60">
        <f>1*'Cadastro de Insumos'!$P$14</f>
        <v>0</v>
      </c>
      <c r="F13" s="57">
        <f>(B12*(1+$B$6)-1)*'Cadastro de Insumos'!$P$20</f>
        <v>0.75600000000000001</v>
      </c>
      <c r="G13" s="57">
        <f>(B12*(1+$B$6)-1)*'Cadastro de Insumos'!$P$24</f>
        <v>0</v>
      </c>
      <c r="H13" s="57">
        <f>(B12*(1+$B$6)-1)*'Cadastro de Insumos'!$P$28</f>
        <v>0</v>
      </c>
      <c r="I13" s="57">
        <f>($B$6-(SUM(F13:H13)))*'Cadastro de Insumos'!$P$34</f>
        <v>1.3463999999999998</v>
      </c>
      <c r="J13" s="57">
        <f>($B$6-(SUM(F13:H13)))*'Cadastro de Insumos'!$P$38</f>
        <v>0.89759999999999995</v>
      </c>
      <c r="K13" s="57">
        <f>($B$6-(SUM(F13:H13)))*'Cadastro de Insumos'!$P$42</f>
        <v>0</v>
      </c>
      <c r="L13" s="57">
        <f>($B$6-(SUM(F13:H13)))*'Cadastro de Insumos'!$P$46</f>
        <v>0</v>
      </c>
      <c r="M13" s="56">
        <f>IF(C13=0,"",('Escopo de Estudo'!$D$30/SUM('Ficha de Dosagem - A'!I13:L13))*C13)</f>
        <v>8.9126559714795022</v>
      </c>
      <c r="N13" s="57" t="str">
        <f>IF(N10="","",('Escopo de Estudo'!$D$30/SUM('Ficha de Dosagem - A'!I13:L13))*D13)</f>
        <v/>
      </c>
      <c r="O13" s="58" t="str">
        <f>IF(O10="","",('Escopo de Estudo'!$D$30/SUM('Ficha de Dosagem - A'!I13:L13))*E13)</f>
        <v/>
      </c>
      <c r="P13" s="56">
        <f t="shared" ref="P13:P31" si="11">IF(F13=0,"",SUM(M13:O13)*F13)</f>
        <v>6.7379679144385038</v>
      </c>
      <c r="Q13" s="72" t="str">
        <f>IF($Q$10="","",SUM(M13:O13)*G13)</f>
        <v/>
      </c>
      <c r="R13" s="55" t="str">
        <f>IF($R$10="","",SUM(M13:O13)*H13)</f>
        <v/>
      </c>
      <c r="S13" s="56" t="str">
        <f>IF('Cadastro de Insumos'!$O$52=FALSE,"",IF('Cadastro de Insumos'!$P$52=FALSE,(('Cadastro de Insumos'!$E$54*M13)/'Cadastro de Insumos'!$L$54)*1000,(('Cadastro de Insumos'!$E$54*M13)*1000)))</f>
        <v/>
      </c>
      <c r="T13" s="57" t="str">
        <f>IF('Cadastro de Insumos'!$O$56=FALSE,"",IF('Cadastro de Insumos'!$P$56=FALSE,(('Cadastro de Insumos'!$E$58*M13)/'Cadastro de Insumos'!$L$58)*1000,(('Cadastro de Insumos'!$E$58*M13)*1000)))</f>
        <v/>
      </c>
      <c r="U13" s="57" t="str">
        <f>IF('Cadastro de Insumos'!$O$60=FALSE,"",IF('Cadastro de Insumos'!$P$60=FALSE,(('Cadastro de Insumos'!$E$62*M13)/'Cadastro de Insumos'!$L$62)*1000,(('Cadastro de Insumos'!$E$62*M13)*1000)))</f>
        <v/>
      </c>
      <c r="V13" s="58" t="str">
        <f>IF('Cadastro de Insumos'!$O$64=FALSE,"",IF('Cadastro de Insumos'!$P$64=FALSE,(('Cadastro de Insumos'!$E$66*M13)/'Cadastro de Insumos'!$L$66)*1000,(('Cadastro de Insumos'!$E$66*M13)*1000)))</f>
        <v/>
      </c>
      <c r="W13" s="56" t="str">
        <f>IF('Cadastro de Insumos'!$O$70=FALSE,"",IF('Cadastro de Insumos'!$P$70=FALSE,(('Cadastro de Insumos'!$E$72*M13)/'Cadastro de Insumos'!$L$72)*1000,(('Cadastro de Insumos'!$E$72*M13)*1000)))</f>
        <v/>
      </c>
      <c r="X13" s="57" t="str">
        <f>IF('Cadastro de Insumos'!$O$74=FALSE,"",IF('Cadastro de Insumos'!$P$74=FALSE,(('Cadastro de Insumos'!$E$76*M13)/'Cadastro de Insumos'!$L$76)*1000,(('Cadastro de Insumos'!$E$76*M13)*1000)))</f>
        <v/>
      </c>
      <c r="Y13" s="57" t="str">
        <f>IF('Cadastro de Insumos'!$O$78=FALSE,"",IF('Cadastro de Insumos'!$P$78=FALSE,(('Cadastro de Insumos'!$E$80*M13)/'Cadastro de Insumos'!$L$80)*1000,(('Cadastro de Insumos'!$E$80*M13)*1000)))</f>
        <v/>
      </c>
      <c r="Z13" s="58" t="str">
        <f>IF('Cadastro de Insumos'!$O$82=FALSE,"",IF('Cadastro de Insumos'!$P$82=FALSE,(('Cadastro de Insumos'!$E$84*M13)/'Cadastro de Insumos'!$L$84)*1000,(('Cadastro de Insumos'!$E$84*M13)*1000)))</f>
        <v/>
      </c>
    </row>
    <row r="14" spans="2:26">
      <c r="B14" s="252">
        <f>B12+0.01</f>
        <v>0.53</v>
      </c>
      <c r="C14" s="50"/>
      <c r="D14" s="50"/>
      <c r="E14" s="50"/>
      <c r="F14" s="63"/>
      <c r="G14" s="63"/>
      <c r="H14" s="63"/>
      <c r="I14" s="63"/>
      <c r="J14" s="63"/>
      <c r="K14" s="63"/>
      <c r="L14" s="63"/>
      <c r="M14" s="64" t="str">
        <f>IF(M15="","","+"&amp;ROUND(M15-M13,3))</f>
        <v>+0,113</v>
      </c>
      <c r="N14" s="65" t="str">
        <f>IF(N15="","","+"&amp;ROUND(N15-N13,3))</f>
        <v/>
      </c>
      <c r="O14" s="66" t="str">
        <f>IF(O15="","","+"&amp;ROUND(O15-O13,3))</f>
        <v/>
      </c>
      <c r="P14" s="64" t="str">
        <f t="shared" ref="P14" si="12">IF(P15="","","+"&amp;ROUND(P15-P13,3))</f>
        <v>+0,338</v>
      </c>
      <c r="Q14" s="65" t="str">
        <f t="shared" ref="Q14" si="13">IF(Q15="","","+"&amp;ROUND(Q15-Q13,3))</f>
        <v/>
      </c>
      <c r="R14" s="67" t="str">
        <f t="shared" ref="R14" si="14">IF(R15="","","+"&amp;ROUND(R15-R13,3))</f>
        <v/>
      </c>
      <c r="S14" s="64" t="str">
        <f t="shared" ref="S14" si="15">IF(S15="","","+"&amp;ROUND(S15-S13,3))</f>
        <v/>
      </c>
      <c r="T14" s="65" t="str">
        <f t="shared" ref="T14" si="16">IF(T15="","","+"&amp;ROUND(T15-T13,3))</f>
        <v/>
      </c>
      <c r="U14" s="65" t="str">
        <f t="shared" ref="U14" si="17">IF(U15="","","+"&amp;ROUND(U15-U13,3))</f>
        <v/>
      </c>
      <c r="V14" s="67" t="str">
        <f t="shared" ref="V14" si="18">IF(V15="","","+"&amp;ROUND(V15-V13,3))</f>
        <v/>
      </c>
      <c r="W14" s="64" t="str">
        <f t="shared" ref="W14" si="19">IF(W15="","","+"&amp;ROUND(W15-W13,3))</f>
        <v/>
      </c>
      <c r="X14" s="65" t="str">
        <f t="shared" ref="X14" si="20">IF(X15="","","+"&amp;ROUND(X15-X13,3))</f>
        <v/>
      </c>
      <c r="Y14" s="65" t="str">
        <f t="shared" ref="Y14" si="21">IF(Y15="","","+"&amp;ROUND(Y15-Y13,3))</f>
        <v/>
      </c>
      <c r="Z14" s="67" t="str">
        <f t="shared" ref="Z14" si="22">IF(Z15="","","+"&amp;ROUND(Z15-Z13,3))</f>
        <v/>
      </c>
    </row>
    <row r="15" spans="2:26" ht="16.5" thickBot="1">
      <c r="B15" s="253"/>
      <c r="C15" s="60">
        <f>1*'Cadastro de Insumos'!$P$6</f>
        <v>1</v>
      </c>
      <c r="D15" s="60">
        <f>1*'Cadastro de Insumos'!$P$10</f>
        <v>0</v>
      </c>
      <c r="E15" s="60">
        <f>1*'Cadastro de Insumos'!$P$14</f>
        <v>0</v>
      </c>
      <c r="F15" s="57">
        <f>(B14*(1+$B$6)-1)*'Cadastro de Insumos'!$P$20</f>
        <v>0.78400000000000003</v>
      </c>
      <c r="G15" s="57">
        <f>(B14*(1+$B$6)-1)*'Cadastro de Insumos'!$P$24</f>
        <v>0</v>
      </c>
      <c r="H15" s="57">
        <f>(B14*(1+$B$6)-1)*'Cadastro de Insumos'!$P$28</f>
        <v>0</v>
      </c>
      <c r="I15" s="57">
        <f>($B$6-(SUM(F15:H15)))*'Cadastro de Insumos'!$P$34</f>
        <v>1.3296000000000001</v>
      </c>
      <c r="J15" s="57">
        <f>($B$6-(SUM(F15:H15)))*'Cadastro de Insumos'!$P$38</f>
        <v>0.88640000000000008</v>
      </c>
      <c r="K15" s="57">
        <f>($B$6-(SUM(F15:H15)))*'Cadastro de Insumos'!$P$42</f>
        <v>0</v>
      </c>
      <c r="L15" s="57">
        <f>($B$6-(SUM(F15:H15)))*'Cadastro de Insumos'!$P$46</f>
        <v>0</v>
      </c>
      <c r="M15" s="56">
        <f>IF(C15=0,"",('Escopo de Estudo'!$D$30/SUM('Ficha de Dosagem - A'!I15:L15))*C15)</f>
        <v>9.0252707581227423</v>
      </c>
      <c r="N15" s="57" t="str">
        <f>IF(N11="","",('Escopo de Estudo'!$D$30/SUM('Ficha de Dosagem - A'!I15:L15))*D15)</f>
        <v/>
      </c>
      <c r="O15" s="58" t="str">
        <f>IF(O10="","",('Escopo de Estudo'!$D$30/SUM('Ficha de Dosagem - A'!I15:L15))*E15)</f>
        <v/>
      </c>
      <c r="P15" s="56">
        <f t="shared" si="11"/>
        <v>7.0758122743682303</v>
      </c>
      <c r="Q15" s="72" t="str">
        <f>IF($Q$10="","",SUM(M15:O15)*G15)</f>
        <v/>
      </c>
      <c r="R15" s="55" t="str">
        <f>IF($R$10="","",SUM(M15:O15)*H15)</f>
        <v/>
      </c>
      <c r="S15" s="56" t="str">
        <f>IF('Cadastro de Insumos'!$O$52=FALSE,"",IF('Cadastro de Insumos'!$P$52=FALSE,(('Cadastro de Insumos'!$E$54*M15)/'Cadastro de Insumos'!$L$54)*1000,(('Cadastro de Insumos'!$E$54*M15)*1000)))</f>
        <v/>
      </c>
      <c r="T15" s="57" t="str">
        <f>IF('Cadastro de Insumos'!$O$56=FALSE,"",IF('Cadastro de Insumos'!$P$56=FALSE,(('Cadastro de Insumos'!$E$58*M15)/'Cadastro de Insumos'!$L$58)*1000,(('Cadastro de Insumos'!$E$58*M15)*1000)))</f>
        <v/>
      </c>
      <c r="U15" s="57" t="str">
        <f>IF('Cadastro de Insumos'!$O$60=FALSE,"",IF('Cadastro de Insumos'!$P$60=FALSE,(('Cadastro de Insumos'!$E$62*M15)/'Cadastro de Insumos'!$L$62)*1000,(('Cadastro de Insumos'!$E$62*M15)*1000)))</f>
        <v/>
      </c>
      <c r="V15" s="58" t="str">
        <f>IF('Cadastro de Insumos'!$O$64=FALSE,"",IF('Cadastro de Insumos'!$P$64=FALSE,(('Cadastro de Insumos'!$E$66*M15)/'Cadastro de Insumos'!$L$66)*1000,(('Cadastro de Insumos'!$E$66*M15)*1000)))</f>
        <v/>
      </c>
      <c r="W15" s="56" t="str">
        <f>IF('Cadastro de Insumos'!$O$70=FALSE,"",IF('Cadastro de Insumos'!$P$70=FALSE,(('Cadastro de Insumos'!$E$72*M15)/'Cadastro de Insumos'!$L$72)*1000,(('Cadastro de Insumos'!$E$72*M15)*1000)))</f>
        <v/>
      </c>
      <c r="X15" s="57" t="str">
        <f>IF('Cadastro de Insumos'!$O$74=FALSE,"",IF('Cadastro de Insumos'!$P$74=FALSE,(('Cadastro de Insumos'!$E$76*M15)/'Cadastro de Insumos'!$L$76)*1000,(('Cadastro de Insumos'!$E$76*M15)*1000)))</f>
        <v/>
      </c>
      <c r="Y15" s="57" t="str">
        <f>IF('Cadastro de Insumos'!$O$78=FALSE,"",IF('Cadastro de Insumos'!$P$78=FALSE,(('Cadastro de Insumos'!$E$80*M15)/'Cadastro de Insumos'!$L$80)*1000,(('Cadastro de Insumos'!$E$80*M15)*1000)))</f>
        <v/>
      </c>
      <c r="Z15" s="58" t="str">
        <f>IF('Cadastro de Insumos'!$O$82=FALSE,"",IF('Cadastro de Insumos'!$P$82=FALSE,(('Cadastro de Insumos'!$E$84*M15)/'Cadastro de Insumos'!$L$84)*1000,(('Cadastro de Insumos'!$E$84*M15)*1000)))</f>
        <v/>
      </c>
    </row>
    <row r="16" spans="2:26">
      <c r="B16" s="252">
        <f>B14+0.01</f>
        <v>0.54</v>
      </c>
      <c r="C16" s="50"/>
      <c r="D16" s="50"/>
      <c r="E16" s="50"/>
      <c r="F16" s="63"/>
      <c r="G16" s="63"/>
      <c r="H16" s="63"/>
      <c r="I16" s="63"/>
      <c r="J16" s="63"/>
      <c r="K16" s="63"/>
      <c r="L16" s="63"/>
      <c r="M16" s="64" t="str">
        <f>IF(M17="","","+"&amp;ROUND(M17-M15,3))</f>
        <v>+0,115</v>
      </c>
      <c r="N16" s="65" t="str">
        <f>IF(N17="","","+"&amp;ROUND(N17-N15,3))</f>
        <v/>
      </c>
      <c r="O16" s="66" t="str">
        <f>IF(O17="","","+"&amp;ROUND(O17-O15,3))</f>
        <v/>
      </c>
      <c r="P16" s="64" t="str">
        <f t="shared" ref="P16" si="23">IF(P17="","","+"&amp;ROUND(P17-P15,3))</f>
        <v>+0,346</v>
      </c>
      <c r="Q16" s="65" t="str">
        <f t="shared" ref="Q16" si="24">IF(Q17="","","+"&amp;ROUND(Q17-Q15,3))</f>
        <v/>
      </c>
      <c r="R16" s="67" t="str">
        <f t="shared" ref="R16" si="25">IF(R17="","","+"&amp;ROUND(R17-R15,3))</f>
        <v/>
      </c>
      <c r="S16" s="64" t="str">
        <f t="shared" ref="S16" si="26">IF(S17="","","+"&amp;ROUND(S17-S15,3))</f>
        <v/>
      </c>
      <c r="T16" s="65" t="str">
        <f t="shared" ref="T16" si="27">IF(T17="","","+"&amp;ROUND(T17-T15,3))</f>
        <v/>
      </c>
      <c r="U16" s="65" t="str">
        <f t="shared" ref="U16" si="28">IF(U17="","","+"&amp;ROUND(U17-U15,3))</f>
        <v/>
      </c>
      <c r="V16" s="67" t="str">
        <f t="shared" ref="V16" si="29">IF(V17="","","+"&amp;ROUND(V17-V15,3))</f>
        <v/>
      </c>
      <c r="W16" s="64" t="str">
        <f t="shared" ref="W16" si="30">IF(W17="","","+"&amp;ROUND(W17-W15,3))</f>
        <v/>
      </c>
      <c r="X16" s="65" t="str">
        <f t="shared" ref="X16" si="31">IF(X17="","","+"&amp;ROUND(X17-X15,3))</f>
        <v/>
      </c>
      <c r="Y16" s="65" t="str">
        <f t="shared" ref="Y16" si="32">IF(Y17="","","+"&amp;ROUND(Y17-Y15,3))</f>
        <v/>
      </c>
      <c r="Z16" s="67" t="str">
        <f t="shared" ref="Z16" si="33">IF(Z17="","","+"&amp;ROUND(Z17-Z15,3))</f>
        <v/>
      </c>
    </row>
    <row r="17" spans="2:26" ht="16.5" thickBot="1">
      <c r="B17" s="253"/>
      <c r="C17" s="60">
        <f>1*'Cadastro de Insumos'!$P$6</f>
        <v>1</v>
      </c>
      <c r="D17" s="60">
        <f>1*'Cadastro de Insumos'!$P$10</f>
        <v>0</v>
      </c>
      <c r="E17" s="60">
        <f>1*'Cadastro de Insumos'!$P$14</f>
        <v>0</v>
      </c>
      <c r="F17" s="57">
        <f>(B16*(1+$B$6)-1)*'Cadastro de Insumos'!$P$20</f>
        <v>0.81200000000000006</v>
      </c>
      <c r="G17" s="57">
        <f>(B16*(1+$B$6)-1)*'Cadastro de Insumos'!$P$24</f>
        <v>0</v>
      </c>
      <c r="H17" s="57">
        <f>(B16*(1+$B$6)-1)*'Cadastro de Insumos'!$P$28</f>
        <v>0</v>
      </c>
      <c r="I17" s="57">
        <f>($B$6-(SUM(F17:H17)))*'Cadastro de Insumos'!$P$34</f>
        <v>1.3127999999999997</v>
      </c>
      <c r="J17" s="57">
        <f>($B$6-(SUM(F17:H17)))*'Cadastro de Insumos'!$P$38</f>
        <v>0.87519999999999998</v>
      </c>
      <c r="K17" s="57">
        <f>($B$6-(SUM(F17:H17)))*'Cadastro de Insumos'!$P$42</f>
        <v>0</v>
      </c>
      <c r="L17" s="57">
        <f>($B$6-(SUM(F17:H17)))*'Cadastro de Insumos'!$P$46</f>
        <v>0</v>
      </c>
      <c r="M17" s="56">
        <f>IF(C17=0,"",('Escopo de Estudo'!$D$30/SUM('Ficha de Dosagem - A'!I17:L17))*C17)</f>
        <v>9.1407678244972583</v>
      </c>
      <c r="N17" s="57" t="str">
        <f>IF(N10="","",('Escopo de Estudo'!$D$30/SUM('Ficha de Dosagem - A'!I17:L17))*D17)</f>
        <v/>
      </c>
      <c r="O17" s="58" t="str">
        <f>IF(O10="","",('Escopo de Estudo'!$D$30/SUM('Ficha de Dosagem - A'!I17:L17))*E17)</f>
        <v/>
      </c>
      <c r="P17" s="56">
        <f t="shared" si="11"/>
        <v>7.4223034734917741</v>
      </c>
      <c r="Q17" s="72" t="str">
        <f>IF($Q$10="","",SUM(M17:O17)*G17)</f>
        <v/>
      </c>
      <c r="R17" s="55" t="str">
        <f>IF($R$10="","",SUM(M17:O17)*H17)</f>
        <v/>
      </c>
      <c r="S17" s="56" t="str">
        <f>IF('Cadastro de Insumos'!$O$52=FALSE,"",IF('Cadastro de Insumos'!$P$52=FALSE,(('Cadastro de Insumos'!$E$54*M17)/'Cadastro de Insumos'!$L$54)*1000,(('Cadastro de Insumos'!$E$54*M17)*1000)))</f>
        <v/>
      </c>
      <c r="T17" s="57" t="str">
        <f>IF('Cadastro de Insumos'!$O$56=FALSE,"",IF('Cadastro de Insumos'!$P$56=FALSE,(('Cadastro de Insumos'!$E$58*M17)/'Cadastro de Insumos'!$L$58)*1000,(('Cadastro de Insumos'!$E$58*M17)*1000)))</f>
        <v/>
      </c>
      <c r="U17" s="57" t="str">
        <f>IF('Cadastro de Insumos'!$O$60=FALSE,"",IF('Cadastro de Insumos'!$P$60=FALSE,(('Cadastro de Insumos'!$E$62*M17)/'Cadastro de Insumos'!$L$62)*1000,(('Cadastro de Insumos'!$E$62*M17)*1000)))</f>
        <v/>
      </c>
      <c r="V17" s="58" t="str">
        <f>IF('Cadastro de Insumos'!$O$64=FALSE,"",IF('Cadastro de Insumos'!$P$64=FALSE,(('Cadastro de Insumos'!$E$66*M17)/'Cadastro de Insumos'!$L$66)*1000,(('Cadastro de Insumos'!$E$66*M17)*1000)))</f>
        <v/>
      </c>
      <c r="W17" s="56" t="str">
        <f>IF('Cadastro de Insumos'!$O$70=FALSE,"",IF('Cadastro de Insumos'!$P$70=FALSE,(('Cadastro de Insumos'!$E$72*M17)/'Cadastro de Insumos'!$L$72)*1000,(('Cadastro de Insumos'!$E$72*M17)*1000)))</f>
        <v/>
      </c>
      <c r="X17" s="57" t="str">
        <f>IF('Cadastro de Insumos'!$O$74=FALSE,"",IF('Cadastro de Insumos'!$P$74=FALSE,(('Cadastro de Insumos'!$E$76*M17)/'Cadastro de Insumos'!$L$76)*1000,(('Cadastro de Insumos'!$E$76*M17)*1000)))</f>
        <v/>
      </c>
      <c r="Y17" s="57" t="str">
        <f>IF('Cadastro de Insumos'!$O$78=FALSE,"",IF('Cadastro de Insumos'!$P$78=FALSE,(('Cadastro de Insumos'!$E$80*M17)/'Cadastro de Insumos'!$L$80)*1000,(('Cadastro de Insumos'!$E$80*M17)*1000)))</f>
        <v/>
      </c>
      <c r="Z17" s="58" t="str">
        <f>IF('Cadastro de Insumos'!$O$82=FALSE,"",IF('Cadastro de Insumos'!$P$82=FALSE,(('Cadastro de Insumos'!$E$84*M17)/'Cadastro de Insumos'!$L$84)*1000,(('Cadastro de Insumos'!$E$84*M17)*1000)))</f>
        <v/>
      </c>
    </row>
    <row r="18" spans="2:26">
      <c r="B18" s="252">
        <f>B16+0.01</f>
        <v>0.55000000000000004</v>
      </c>
      <c r="C18" s="50"/>
      <c r="D18" s="50"/>
      <c r="E18" s="50"/>
      <c r="F18" s="63"/>
      <c r="G18" s="63"/>
      <c r="H18" s="63"/>
      <c r="I18" s="63"/>
      <c r="J18" s="63"/>
      <c r="K18" s="63"/>
      <c r="L18" s="63"/>
      <c r="M18" s="64" t="str">
        <f>IF(M19="","","+"&amp;ROUND(M19-M17,3))</f>
        <v>+0,118</v>
      </c>
      <c r="N18" s="65" t="str">
        <f>IF(N19="","","+"&amp;ROUND(N19-N17,3))</f>
        <v/>
      </c>
      <c r="O18" s="66" t="str">
        <f>IF(O19="","","+"&amp;ROUND(O19-O17,3))</f>
        <v/>
      </c>
      <c r="P18" s="64" t="str">
        <f t="shared" ref="P18" si="34">IF(P19="","","+"&amp;ROUND(P19-P17,3))</f>
        <v>+0,355</v>
      </c>
      <c r="Q18" s="65" t="str">
        <f t="shared" ref="Q18" si="35">IF(Q19="","","+"&amp;ROUND(Q19-Q17,3))</f>
        <v/>
      </c>
      <c r="R18" s="67" t="str">
        <f t="shared" ref="R18" si="36">IF(R19="","","+"&amp;ROUND(R19-R17,3))</f>
        <v/>
      </c>
      <c r="S18" s="64" t="str">
        <f t="shared" ref="S18" si="37">IF(S19="","","+"&amp;ROUND(S19-S17,3))</f>
        <v/>
      </c>
      <c r="T18" s="65" t="str">
        <f t="shared" ref="T18" si="38">IF(T19="","","+"&amp;ROUND(T19-T17,3))</f>
        <v/>
      </c>
      <c r="U18" s="65" t="str">
        <f t="shared" ref="U18" si="39">IF(U19="","","+"&amp;ROUND(U19-U17,3))</f>
        <v/>
      </c>
      <c r="V18" s="67" t="str">
        <f t="shared" ref="V18" si="40">IF(V19="","","+"&amp;ROUND(V19-V17,3))</f>
        <v/>
      </c>
      <c r="W18" s="64" t="str">
        <f t="shared" ref="W18" si="41">IF(W19="","","+"&amp;ROUND(W19-W17,3))</f>
        <v/>
      </c>
      <c r="X18" s="65" t="str">
        <f t="shared" ref="X18" si="42">IF(X19="","","+"&amp;ROUND(X19-X17,3))</f>
        <v/>
      </c>
      <c r="Y18" s="65" t="str">
        <f t="shared" ref="Y18" si="43">IF(Y19="","","+"&amp;ROUND(Y19-Y17,3))</f>
        <v/>
      </c>
      <c r="Z18" s="67" t="str">
        <f t="shared" ref="Z18" si="44">IF(Z19="","","+"&amp;ROUND(Z19-Z17,3))</f>
        <v/>
      </c>
    </row>
    <row r="19" spans="2:26" ht="16.5" thickBot="1">
      <c r="B19" s="253"/>
      <c r="C19" s="60">
        <f>1*'Cadastro de Insumos'!$P$6</f>
        <v>1</v>
      </c>
      <c r="D19" s="60">
        <f>1*'Cadastro de Insumos'!$P$10</f>
        <v>0</v>
      </c>
      <c r="E19" s="60">
        <f>1*'Cadastro de Insumos'!$P$14</f>
        <v>0</v>
      </c>
      <c r="F19" s="57">
        <f>(B18*(1+$B$6)-1)*'Cadastro de Insumos'!$P$20</f>
        <v>0.84000000000000008</v>
      </c>
      <c r="G19" s="57">
        <f>(B18*(1+$B$6)-1)*'Cadastro de Insumos'!$P$24</f>
        <v>0</v>
      </c>
      <c r="H19" s="57">
        <f>(B18*(1+$B$6)-1)*'Cadastro de Insumos'!$P$28</f>
        <v>0</v>
      </c>
      <c r="I19" s="57">
        <f>($B$6-(SUM(F19:H19)))*'Cadastro de Insumos'!$P$34</f>
        <v>1.296</v>
      </c>
      <c r="J19" s="57">
        <f>($B$6-(SUM(F19:H19)))*'Cadastro de Insumos'!$P$38</f>
        <v>0.8640000000000001</v>
      </c>
      <c r="K19" s="57">
        <f>($B$6-(SUM(F19:H19)))*'Cadastro de Insumos'!$P$42</f>
        <v>0</v>
      </c>
      <c r="L19" s="57">
        <f>($B$6-(SUM(F19:H19)))*'Cadastro de Insumos'!$P$46</f>
        <v>0</v>
      </c>
      <c r="M19" s="56">
        <f>IF(C19=0,"",('Escopo de Estudo'!$D$30/SUM('Ficha de Dosagem - A'!I19:L19))*C19)</f>
        <v>9.2592592592592595</v>
      </c>
      <c r="N19" s="57" t="str">
        <f>IF(N10="","",('Escopo de Estudo'!$D$30/SUM('Ficha de Dosagem - A'!I19:L19))*D19)</f>
        <v/>
      </c>
      <c r="O19" s="58" t="str">
        <f>IF(O10="","",('Escopo de Estudo'!$D$30/SUM('Ficha de Dosagem - A'!I19:L19))*E19)</f>
        <v/>
      </c>
      <c r="P19" s="56">
        <f t="shared" si="11"/>
        <v>7.7777777777777786</v>
      </c>
      <c r="Q19" s="72" t="str">
        <f>IF($Q$10="","",SUM(M19:O19)*G19)</f>
        <v/>
      </c>
      <c r="R19" s="55" t="str">
        <f>IF($R$10="","",SUM(M19:O19)*H19)</f>
        <v/>
      </c>
      <c r="S19" s="56" t="str">
        <f>IF('Cadastro de Insumos'!$O$52=FALSE,"",IF('Cadastro de Insumos'!$P$52=FALSE,(('Cadastro de Insumos'!$E$54*M19)/'Cadastro de Insumos'!$L$54)*1000,(('Cadastro de Insumos'!$E$54*M19)*1000)))</f>
        <v/>
      </c>
      <c r="T19" s="57" t="str">
        <f>IF('Cadastro de Insumos'!$O$56=FALSE,"",IF('Cadastro de Insumos'!$P$56=FALSE,(('Cadastro de Insumos'!$E$58*M19)/'Cadastro de Insumos'!$L$58)*1000,(('Cadastro de Insumos'!$E$58*M19)*1000)))</f>
        <v/>
      </c>
      <c r="U19" s="57" t="str">
        <f>IF('Cadastro de Insumos'!$O$60=FALSE,"",IF('Cadastro de Insumos'!$P$60=FALSE,(('Cadastro de Insumos'!$E$62*M19)/'Cadastro de Insumos'!$L$62)*1000,(('Cadastro de Insumos'!$E$62*M19)*1000)))</f>
        <v/>
      </c>
      <c r="V19" s="58" t="str">
        <f>IF('Cadastro de Insumos'!$O$64=FALSE,"",IF('Cadastro de Insumos'!$P$64=FALSE,(('Cadastro de Insumos'!$E$66*M19)/'Cadastro de Insumos'!$L$66)*1000,(('Cadastro de Insumos'!$E$66*M19)*1000)))</f>
        <v/>
      </c>
      <c r="W19" s="56" t="str">
        <f>IF('Cadastro de Insumos'!$O$70=FALSE,"",IF('Cadastro de Insumos'!$P$70=FALSE,(('Cadastro de Insumos'!$E$72*M19)/'Cadastro de Insumos'!$L$72)*1000,(('Cadastro de Insumos'!$E$72*M19)*1000)))</f>
        <v/>
      </c>
      <c r="X19" s="57" t="str">
        <f>IF('Cadastro de Insumos'!$O$74=FALSE,"",IF('Cadastro de Insumos'!$P$74=FALSE,(('Cadastro de Insumos'!$E$76*M19)/'Cadastro de Insumos'!$L$76)*1000,(('Cadastro de Insumos'!$E$76*M19)*1000)))</f>
        <v/>
      </c>
      <c r="Y19" s="57" t="str">
        <f>IF('Cadastro de Insumos'!$O$78=FALSE,"",IF('Cadastro de Insumos'!$P$78=FALSE,(('Cadastro de Insumos'!$E$80*M19)/'Cadastro de Insumos'!$L$80)*1000,(('Cadastro de Insumos'!$E$80*M19)*1000)))</f>
        <v/>
      </c>
      <c r="Z19" s="58" t="str">
        <f>IF('Cadastro de Insumos'!$O$82=FALSE,"",IF('Cadastro de Insumos'!$P$82=FALSE,(('Cadastro de Insumos'!$E$84*M19)/'Cadastro de Insumos'!$L$84)*1000,(('Cadastro de Insumos'!$E$84*M19)*1000)))</f>
        <v/>
      </c>
    </row>
    <row r="20" spans="2:26">
      <c r="B20" s="252">
        <f>B18+0.01</f>
        <v>0.56000000000000005</v>
      </c>
      <c r="C20" s="50"/>
      <c r="D20" s="50"/>
      <c r="E20" s="50"/>
      <c r="F20" s="63"/>
      <c r="G20" s="63"/>
      <c r="H20" s="63"/>
      <c r="I20" s="63"/>
      <c r="J20" s="63"/>
      <c r="K20" s="63"/>
      <c r="L20" s="63"/>
      <c r="M20" s="64" t="str">
        <f>IF(M21="","","+"&amp;ROUND(M21-M19,3))</f>
        <v>+0,122</v>
      </c>
      <c r="N20" s="65" t="str">
        <f>IF(N21="","","+"&amp;ROUND(N21-N19,3))</f>
        <v/>
      </c>
      <c r="O20" s="66" t="str">
        <f>IF(O21="","","+"&amp;ROUND(O21-O19,3))</f>
        <v/>
      </c>
      <c r="P20" s="64" t="str">
        <f t="shared" ref="P20" si="45">IF(P21="","","+"&amp;ROUND(P21-P19,3))</f>
        <v>+0,365</v>
      </c>
      <c r="Q20" s="65" t="str">
        <f t="shared" ref="Q20" si="46">IF(Q21="","","+"&amp;ROUND(Q21-Q19,3))</f>
        <v/>
      </c>
      <c r="R20" s="67" t="str">
        <f t="shared" ref="R20" si="47">IF(R21="","","+"&amp;ROUND(R21-R19,3))</f>
        <v/>
      </c>
      <c r="S20" s="64" t="str">
        <f t="shared" ref="S20" si="48">IF(S21="","","+"&amp;ROUND(S21-S19,3))</f>
        <v/>
      </c>
      <c r="T20" s="65" t="str">
        <f t="shared" ref="T20" si="49">IF(T21="","","+"&amp;ROUND(T21-T19,3))</f>
        <v/>
      </c>
      <c r="U20" s="65" t="str">
        <f t="shared" ref="U20" si="50">IF(U21="","","+"&amp;ROUND(U21-U19,3))</f>
        <v/>
      </c>
      <c r="V20" s="67" t="str">
        <f t="shared" ref="V20" si="51">IF(V21="","","+"&amp;ROUND(V21-V19,3))</f>
        <v/>
      </c>
      <c r="W20" s="64" t="str">
        <f t="shared" ref="W20" si="52">IF(W21="","","+"&amp;ROUND(W21-W19,3))</f>
        <v/>
      </c>
      <c r="X20" s="65" t="str">
        <f t="shared" ref="X20" si="53">IF(X21="","","+"&amp;ROUND(X21-X19,3))</f>
        <v/>
      </c>
      <c r="Y20" s="65" t="str">
        <f t="shared" ref="Y20" si="54">IF(Y21="","","+"&amp;ROUND(Y21-Y19,3))</f>
        <v/>
      </c>
      <c r="Z20" s="67" t="str">
        <f t="shared" ref="Z20" si="55">IF(Z21="","","+"&amp;ROUND(Z21-Z19,3))</f>
        <v/>
      </c>
    </row>
    <row r="21" spans="2:26" ht="16.5" thickBot="1">
      <c r="B21" s="253"/>
      <c r="C21" s="60">
        <f>1*'Cadastro de Insumos'!$P$6</f>
        <v>1</v>
      </c>
      <c r="D21" s="60">
        <f>1*'Cadastro de Insumos'!$P$10</f>
        <v>0</v>
      </c>
      <c r="E21" s="60">
        <f>1*'Cadastro de Insumos'!$P$14</f>
        <v>0</v>
      </c>
      <c r="F21" s="57">
        <f>(B20*(1+$B$6)-1)*'Cadastro de Insumos'!$P$20</f>
        <v>0.8680000000000001</v>
      </c>
      <c r="G21" s="57">
        <f>(B20*(1+$B$6)-1)*'Cadastro de Insumos'!$P$24</f>
        <v>0</v>
      </c>
      <c r="H21" s="57">
        <f>(B20*(1+$B$6)-1)*'Cadastro de Insumos'!$P$28</f>
        <v>0</v>
      </c>
      <c r="I21" s="57">
        <f>($B$6-(SUM(F21:H21)))*'Cadastro de Insumos'!$P$34</f>
        <v>1.2791999999999997</v>
      </c>
      <c r="J21" s="57">
        <f>($B$6-(SUM(F21:H21)))*'Cadastro de Insumos'!$P$38</f>
        <v>0.85279999999999989</v>
      </c>
      <c r="K21" s="57">
        <f>($B$6-(SUM(F21:H21)))*'Cadastro de Insumos'!$P$42</f>
        <v>0</v>
      </c>
      <c r="L21" s="57">
        <f>($B$6-(SUM(F21:H21)))*'Cadastro de Insumos'!$P$46</f>
        <v>0</v>
      </c>
      <c r="M21" s="56">
        <f>IF(C21=0,"",('Escopo de Estudo'!$D$30/SUM('Ficha de Dosagem - A'!I21:L21))*C21)</f>
        <v>9.3808630393996264</v>
      </c>
      <c r="N21" s="57" t="str">
        <f>IF(N10="","",('Escopo de Estudo'!$D$30/SUM('Ficha de Dosagem - A'!I21:L21))*D21)</f>
        <v/>
      </c>
      <c r="O21" s="58" t="str">
        <f>IF(O10="","",('Escopo de Estudo'!$D$30/SUM('Ficha de Dosagem - A'!I21:L21))*E21)</f>
        <v/>
      </c>
      <c r="P21" s="56">
        <f t="shared" si="11"/>
        <v>8.1425891181988774</v>
      </c>
      <c r="Q21" s="72" t="str">
        <f>IF($Q$10="","",SUM(M21:O21)*G21)</f>
        <v/>
      </c>
      <c r="R21" s="55" t="str">
        <f>IF($R$10="","",SUM(M21:O21)*H21)</f>
        <v/>
      </c>
      <c r="S21" s="56" t="str">
        <f>IF('Cadastro de Insumos'!$O$52=FALSE,"",IF('Cadastro de Insumos'!$P$52=FALSE,(('Cadastro de Insumos'!$E$54*M21)/'Cadastro de Insumos'!$L$54)*1000,(('Cadastro de Insumos'!$E$54*M21)*1000)))</f>
        <v/>
      </c>
      <c r="T21" s="57" t="str">
        <f>IF('Cadastro de Insumos'!$O$56=FALSE,"",IF('Cadastro de Insumos'!$P$56=FALSE,(('Cadastro de Insumos'!$E$58*M21)/'Cadastro de Insumos'!$L$58)*1000,(('Cadastro de Insumos'!$E$58*M21)*1000)))</f>
        <v/>
      </c>
      <c r="U21" s="57" t="str">
        <f>IF('Cadastro de Insumos'!$O$60=FALSE,"",IF('Cadastro de Insumos'!$P$60=FALSE,(('Cadastro de Insumos'!$E$62*M21)/'Cadastro de Insumos'!$L$62)*1000,(('Cadastro de Insumos'!$E$62*M21)*1000)))</f>
        <v/>
      </c>
      <c r="V21" s="58" t="str">
        <f>IF('Cadastro de Insumos'!$O$64=FALSE,"",IF('Cadastro de Insumos'!$P$64=FALSE,(('Cadastro de Insumos'!$E$66*M21)/'Cadastro de Insumos'!$L$66)*1000,(('Cadastro de Insumos'!$E$66*M21)*1000)))</f>
        <v/>
      </c>
      <c r="W21" s="56" t="str">
        <f>IF('Cadastro de Insumos'!$O$70=FALSE,"",IF('Cadastro de Insumos'!$P$70=FALSE,(('Cadastro de Insumos'!$E$72*M21)/'Cadastro de Insumos'!$L$72)*1000,(('Cadastro de Insumos'!$E$72*M21)*1000)))</f>
        <v/>
      </c>
      <c r="X21" s="57" t="str">
        <f>IF('Cadastro de Insumos'!$O$74=FALSE,"",IF('Cadastro de Insumos'!$P$74=FALSE,(('Cadastro de Insumos'!$E$76*M21)/'Cadastro de Insumos'!$L$76)*1000,(('Cadastro de Insumos'!$E$76*M21)*1000)))</f>
        <v/>
      </c>
      <c r="Y21" s="57" t="str">
        <f>IF('Cadastro de Insumos'!$O$78=FALSE,"",IF('Cadastro de Insumos'!$P$78=FALSE,(('Cadastro de Insumos'!$E$80*M21)/'Cadastro de Insumos'!$L$80)*1000,(('Cadastro de Insumos'!$E$80*M21)*1000)))</f>
        <v/>
      </c>
      <c r="Z21" s="58" t="str">
        <f>IF('Cadastro de Insumos'!$O$82=FALSE,"",IF('Cadastro de Insumos'!$P$82=FALSE,(('Cadastro de Insumos'!$E$84*M21)/'Cadastro de Insumos'!$L$84)*1000,(('Cadastro de Insumos'!$E$84*M21)*1000)))</f>
        <v/>
      </c>
    </row>
    <row r="22" spans="2:26">
      <c r="B22" s="252">
        <f>B20+0.01</f>
        <v>0.57000000000000006</v>
      </c>
      <c r="C22" s="50"/>
      <c r="D22" s="50"/>
      <c r="E22" s="50"/>
      <c r="F22" s="63"/>
      <c r="G22" s="63"/>
      <c r="H22" s="63"/>
      <c r="I22" s="63"/>
      <c r="J22" s="63"/>
      <c r="K22" s="63"/>
      <c r="L22" s="63"/>
      <c r="M22" s="64" t="str">
        <f>IF(M23="","","+"&amp;ROUND(M23-M21,3))</f>
        <v>+0,125</v>
      </c>
      <c r="N22" s="65" t="str">
        <f>IF(N23="","","+"&amp;ROUND(N23-N21,3))</f>
        <v/>
      </c>
      <c r="O22" s="66" t="str">
        <f>IF(O23="","","+"&amp;ROUND(O23-O21,3))</f>
        <v/>
      </c>
      <c r="P22" s="64" t="str">
        <f t="shared" ref="P22" si="56">IF(P23="","","+"&amp;ROUND(P23-P21,3))</f>
        <v>+0,375</v>
      </c>
      <c r="Q22" s="65" t="str">
        <f t="shared" ref="Q22" si="57">IF(Q23="","","+"&amp;ROUND(Q23-Q21,3))</f>
        <v/>
      </c>
      <c r="R22" s="67" t="str">
        <f t="shared" ref="R22" si="58">IF(R23="","","+"&amp;ROUND(R23-R21,3))</f>
        <v/>
      </c>
      <c r="S22" s="64" t="str">
        <f t="shared" ref="S22" si="59">IF(S23="","","+"&amp;ROUND(S23-S21,3))</f>
        <v/>
      </c>
      <c r="T22" s="65" t="str">
        <f t="shared" ref="T22" si="60">IF(T23="","","+"&amp;ROUND(T23-T21,3))</f>
        <v/>
      </c>
      <c r="U22" s="65" t="str">
        <f t="shared" ref="U22" si="61">IF(U23="","","+"&amp;ROUND(U23-U21,3))</f>
        <v/>
      </c>
      <c r="V22" s="67" t="str">
        <f t="shared" ref="V22" si="62">IF(V23="","","+"&amp;ROUND(V23-V21,3))</f>
        <v/>
      </c>
      <c r="W22" s="64" t="str">
        <f t="shared" ref="W22" si="63">IF(W23="","","+"&amp;ROUND(W23-W21,3))</f>
        <v/>
      </c>
      <c r="X22" s="65" t="str">
        <f t="shared" ref="X22" si="64">IF(X23="","","+"&amp;ROUND(X23-X21,3))</f>
        <v/>
      </c>
      <c r="Y22" s="65" t="str">
        <f t="shared" ref="Y22" si="65">IF(Y23="","","+"&amp;ROUND(Y23-Y21,3))</f>
        <v/>
      </c>
      <c r="Z22" s="67" t="str">
        <f t="shared" ref="Z22" si="66">IF(Z23="","","+"&amp;ROUND(Z23-Z21,3))</f>
        <v/>
      </c>
    </row>
    <row r="23" spans="2:26" ht="16.5" thickBot="1">
      <c r="B23" s="253"/>
      <c r="C23" s="60">
        <f>1*'Cadastro de Insumos'!$P$6</f>
        <v>1</v>
      </c>
      <c r="D23" s="60">
        <f>1*'Cadastro de Insumos'!$P$10</f>
        <v>0</v>
      </c>
      <c r="E23" s="60">
        <f>1*'Cadastro de Insumos'!$P$14</f>
        <v>0</v>
      </c>
      <c r="F23" s="57">
        <f>(B22*(1+$B$6)-1)*'Cadastro de Insumos'!$P$20</f>
        <v>0.89600000000000013</v>
      </c>
      <c r="G23" s="57">
        <f>(B22*(1+$B$6)-1)*'Cadastro de Insumos'!$P$24</f>
        <v>0</v>
      </c>
      <c r="H23" s="57">
        <f>(B22*(1+$B$6)-1)*'Cadastro de Insumos'!$P$28</f>
        <v>0</v>
      </c>
      <c r="I23" s="57">
        <f>($B$6-(SUM(F23:H23)))*'Cadastro de Insumos'!$P$34</f>
        <v>1.2624</v>
      </c>
      <c r="J23" s="57">
        <f>($B$6-(SUM(F23:H23)))*'Cadastro de Insumos'!$P$38</f>
        <v>0.84160000000000013</v>
      </c>
      <c r="K23" s="57">
        <f>($B$6-(SUM(F23:H23)))*'Cadastro de Insumos'!$P$42</f>
        <v>0</v>
      </c>
      <c r="L23" s="57">
        <f>($B$6-(SUM(F23:H23)))*'Cadastro de Insumos'!$P$46</f>
        <v>0</v>
      </c>
      <c r="M23" s="56">
        <f>IF(C23=0,"",('Escopo de Estudo'!$D$30/SUM('Ficha de Dosagem - A'!I23:L23))*C23)</f>
        <v>9.5057034220532319</v>
      </c>
      <c r="N23" s="57" t="str">
        <f>IF(N10="","",('Escopo de Estudo'!$D$30/SUM('Ficha de Dosagem - A'!I23:L23))*D23)</f>
        <v/>
      </c>
      <c r="O23" s="58" t="str">
        <f>IF(O10="","",('Escopo de Estudo'!$D$30/SUM('Ficha de Dosagem - A'!I23:L23))*E23)</f>
        <v/>
      </c>
      <c r="P23" s="56">
        <f t="shared" si="11"/>
        <v>8.5171102661596976</v>
      </c>
      <c r="Q23" s="72" t="str">
        <f>IF($Q$10="","",SUM(M23:O23)*G23)</f>
        <v/>
      </c>
      <c r="R23" s="55" t="str">
        <f>IF($R$10="","",SUM(M23:O23)*H23)</f>
        <v/>
      </c>
      <c r="S23" s="56" t="str">
        <f>IF('Cadastro de Insumos'!$O$52=FALSE,"",IF('Cadastro de Insumos'!$P$52=FALSE,(('Cadastro de Insumos'!$E$54*M23)/'Cadastro de Insumos'!$L$54)*1000,(('Cadastro de Insumos'!$E$54*M23)*1000)))</f>
        <v/>
      </c>
      <c r="T23" s="57" t="str">
        <f>IF('Cadastro de Insumos'!$O$56=FALSE,"",IF('Cadastro de Insumos'!$P$56=FALSE,(('Cadastro de Insumos'!$E$58*M23)/'Cadastro de Insumos'!$L$58)*1000,(('Cadastro de Insumos'!$E$58*M23)*1000)))</f>
        <v/>
      </c>
      <c r="U23" s="57" t="str">
        <f>IF('Cadastro de Insumos'!$O$60=FALSE,"",IF('Cadastro de Insumos'!$P$60=FALSE,(('Cadastro de Insumos'!$E$62*M23)/'Cadastro de Insumos'!$L$62)*1000,(('Cadastro de Insumos'!$E$62*M23)*1000)))</f>
        <v/>
      </c>
      <c r="V23" s="58" t="str">
        <f>IF('Cadastro de Insumos'!$O$64=FALSE,"",IF('Cadastro de Insumos'!$P$64=FALSE,(('Cadastro de Insumos'!$E$66*M23)/'Cadastro de Insumos'!$L$66)*1000,(('Cadastro de Insumos'!$E$66*M23)*1000)))</f>
        <v/>
      </c>
      <c r="W23" s="56" t="str">
        <f>IF('Cadastro de Insumos'!$O$70=FALSE,"",IF('Cadastro de Insumos'!$P$70=FALSE,(('Cadastro de Insumos'!$E$72*M23)/'Cadastro de Insumos'!$L$72)*1000,(('Cadastro de Insumos'!$E$72*M23)*1000)))</f>
        <v/>
      </c>
      <c r="X23" s="57" t="str">
        <f>IF('Cadastro de Insumos'!$O$74=FALSE,"",IF('Cadastro de Insumos'!$P$74=FALSE,(('Cadastro de Insumos'!$E$76*M23)/'Cadastro de Insumos'!$L$76)*1000,(('Cadastro de Insumos'!$E$76*M23)*1000)))</f>
        <v/>
      </c>
      <c r="Y23" s="57" t="str">
        <f>IF('Cadastro de Insumos'!$O$78=FALSE,"",IF('Cadastro de Insumos'!$P$78=FALSE,(('Cadastro de Insumos'!$E$80*M23)/'Cadastro de Insumos'!$L$80)*1000,(('Cadastro de Insumos'!$E$80*M23)*1000)))</f>
        <v/>
      </c>
      <c r="Z23" s="58" t="str">
        <f>IF('Cadastro de Insumos'!$O$82=FALSE,"",IF('Cadastro de Insumos'!$P$82=FALSE,(('Cadastro de Insumos'!$E$84*M23)/'Cadastro de Insumos'!$L$84)*1000,(('Cadastro de Insumos'!$E$84*M23)*1000)))</f>
        <v/>
      </c>
    </row>
    <row r="24" spans="2:26">
      <c r="B24" s="252">
        <f>B22+0.01</f>
        <v>0.58000000000000007</v>
      </c>
      <c r="C24" s="50"/>
      <c r="D24" s="50"/>
      <c r="E24" s="50"/>
      <c r="F24" s="63"/>
      <c r="G24" s="63"/>
      <c r="H24" s="63"/>
      <c r="I24" s="63"/>
      <c r="J24" s="63"/>
      <c r="K24" s="63"/>
      <c r="L24" s="63"/>
      <c r="M24" s="64" t="str">
        <f>IF(M25="","","+"&amp;ROUND(M25-M23,3))</f>
        <v>+0,128</v>
      </c>
      <c r="N24" s="65" t="str">
        <f>IF(N25="","","+"&amp;ROUND(N25-N23,3))</f>
        <v/>
      </c>
      <c r="O24" s="66" t="str">
        <f>IF(O25="","","+"&amp;ROUND(O25-O23,3))</f>
        <v/>
      </c>
      <c r="P24" s="64" t="str">
        <f t="shared" ref="P24" si="67">IF(P25="","","+"&amp;ROUND(P25-P23,3))</f>
        <v>+0,385</v>
      </c>
      <c r="Q24" s="65" t="str">
        <f t="shared" ref="Q24" si="68">IF(Q25="","","+"&amp;ROUND(Q25-Q23,3))</f>
        <v/>
      </c>
      <c r="R24" s="67" t="str">
        <f t="shared" ref="R24" si="69">IF(R25="","","+"&amp;ROUND(R25-R23,3))</f>
        <v/>
      </c>
      <c r="S24" s="64" t="str">
        <f t="shared" ref="S24" si="70">IF(S25="","","+"&amp;ROUND(S25-S23,3))</f>
        <v/>
      </c>
      <c r="T24" s="65" t="str">
        <f t="shared" ref="T24" si="71">IF(T25="","","+"&amp;ROUND(T25-T23,3))</f>
        <v/>
      </c>
      <c r="U24" s="65" t="str">
        <f t="shared" ref="U24" si="72">IF(U25="","","+"&amp;ROUND(U25-U23,3))</f>
        <v/>
      </c>
      <c r="V24" s="67" t="str">
        <f t="shared" ref="V24" si="73">IF(V25="","","+"&amp;ROUND(V25-V23,3))</f>
        <v/>
      </c>
      <c r="W24" s="64" t="str">
        <f t="shared" ref="W24" si="74">IF(W25="","","+"&amp;ROUND(W25-W23,3))</f>
        <v/>
      </c>
      <c r="X24" s="65" t="str">
        <f t="shared" ref="X24" si="75">IF(X25="","","+"&amp;ROUND(X25-X23,3))</f>
        <v/>
      </c>
      <c r="Y24" s="65" t="str">
        <f t="shared" ref="Y24" si="76">IF(Y25="","","+"&amp;ROUND(Y25-Y23,3))</f>
        <v/>
      </c>
      <c r="Z24" s="67" t="str">
        <f t="shared" ref="Z24" si="77">IF(Z25="","","+"&amp;ROUND(Z25-Z23,3))</f>
        <v/>
      </c>
    </row>
    <row r="25" spans="2:26" ht="16.5" thickBot="1">
      <c r="B25" s="253"/>
      <c r="C25" s="60">
        <f>1*'Cadastro de Insumos'!$P$6</f>
        <v>1</v>
      </c>
      <c r="D25" s="60">
        <f>1*'Cadastro de Insumos'!$P$10</f>
        <v>0</v>
      </c>
      <c r="E25" s="60">
        <f>1*'Cadastro de Insumos'!$P$14</f>
        <v>0</v>
      </c>
      <c r="F25" s="57">
        <f>(B24*(1+$B$6)-1)*'Cadastro de Insumos'!$P$20</f>
        <v>0.92400000000000015</v>
      </c>
      <c r="G25" s="57">
        <f>(B24*(1+$B$6)-1)*'Cadastro de Insumos'!$P$24</f>
        <v>0</v>
      </c>
      <c r="H25" s="57">
        <f>(B24*(1+$B$6)-1)*'Cadastro de Insumos'!$P$28</f>
        <v>0</v>
      </c>
      <c r="I25" s="57">
        <f>($B$6-(SUM(F25:H25)))*'Cadastro de Insumos'!$P$34</f>
        <v>1.2455999999999998</v>
      </c>
      <c r="J25" s="57">
        <f>($B$6-(SUM(F25:H25)))*'Cadastro de Insumos'!$P$38</f>
        <v>0.83039999999999992</v>
      </c>
      <c r="K25" s="57">
        <f>($B$6-(SUM(F25:H25)))*'Cadastro de Insumos'!$P$42</f>
        <v>0</v>
      </c>
      <c r="L25" s="57">
        <f>($B$6-(SUM(F25:H25)))*'Cadastro de Insumos'!$P$46</f>
        <v>0</v>
      </c>
      <c r="M25" s="56">
        <f>IF(C25=0,"",('Escopo de Estudo'!$D$30/SUM('Ficha de Dosagem - A'!I25:L25))*C25)</f>
        <v>9.6339113680154167</v>
      </c>
      <c r="N25" s="57" t="str">
        <f>IF(N10="","",('Escopo de Estudo'!$D$30/SUM('Ficha de Dosagem - A'!I25:L25))*D25)</f>
        <v/>
      </c>
      <c r="O25" s="58" t="str">
        <f>IF(O10="","",('Escopo de Estudo'!$D$30/SUM('Ficha de Dosagem - A'!I25:L25))*E25)</f>
        <v/>
      </c>
      <c r="P25" s="56">
        <f t="shared" si="11"/>
        <v>8.9017341040462465</v>
      </c>
      <c r="Q25" s="72" t="str">
        <f>IF($Q$10="","",SUM(M25:O25)*G25)</f>
        <v/>
      </c>
      <c r="R25" s="55" t="str">
        <f>IF($R$10="","",SUM(M25:O25)*H25)</f>
        <v/>
      </c>
      <c r="S25" s="56" t="str">
        <f>IF('Cadastro de Insumos'!$O$52=FALSE,"",IF('Cadastro de Insumos'!$P$52=FALSE,(('Cadastro de Insumos'!$E$54*M25)/'Cadastro de Insumos'!$L$54)*1000,(('Cadastro de Insumos'!$E$54*M25)*1000)))</f>
        <v/>
      </c>
      <c r="T25" s="57" t="str">
        <f>IF('Cadastro de Insumos'!$O$56=FALSE,"",IF('Cadastro de Insumos'!$P$56=FALSE,(('Cadastro de Insumos'!$E$58*M25)/'Cadastro de Insumos'!$L$58)*1000,(('Cadastro de Insumos'!$E$58*M25)*1000)))</f>
        <v/>
      </c>
      <c r="U25" s="57" t="str">
        <f>IF('Cadastro de Insumos'!$O$60=FALSE,"",IF('Cadastro de Insumos'!$P$60=FALSE,(('Cadastro de Insumos'!$E$62*M25)/'Cadastro de Insumos'!$L$62)*1000,(('Cadastro de Insumos'!$E$62*M25)*1000)))</f>
        <v/>
      </c>
      <c r="V25" s="58" t="str">
        <f>IF('Cadastro de Insumos'!$O$64=FALSE,"",IF('Cadastro de Insumos'!$P$64=FALSE,(('Cadastro de Insumos'!$E$66*M25)/'Cadastro de Insumos'!$L$66)*1000,(('Cadastro de Insumos'!$E$66*M25)*1000)))</f>
        <v/>
      </c>
      <c r="W25" s="56" t="str">
        <f>IF('Cadastro de Insumos'!$O$70=FALSE,"",IF('Cadastro de Insumos'!$P$70=FALSE,(('Cadastro de Insumos'!$E$72*M25)/'Cadastro de Insumos'!$L$72)*1000,(('Cadastro de Insumos'!$E$72*M25)*1000)))</f>
        <v/>
      </c>
      <c r="X25" s="57" t="str">
        <f>IF('Cadastro de Insumos'!$O$74=FALSE,"",IF('Cadastro de Insumos'!$P$74=FALSE,(('Cadastro de Insumos'!$E$76*M25)/'Cadastro de Insumos'!$L$76)*1000,(('Cadastro de Insumos'!$E$76*M25)*1000)))</f>
        <v/>
      </c>
      <c r="Y25" s="57" t="str">
        <f>IF('Cadastro de Insumos'!$O$78=FALSE,"",IF('Cadastro de Insumos'!$P$78=FALSE,(('Cadastro de Insumos'!$E$80*M25)/'Cadastro de Insumos'!$L$80)*1000,(('Cadastro de Insumos'!$E$80*M25)*1000)))</f>
        <v/>
      </c>
      <c r="Z25" s="58" t="str">
        <f>IF('Cadastro de Insumos'!$O$82=FALSE,"",IF('Cadastro de Insumos'!$P$82=FALSE,(('Cadastro de Insumos'!$E$84*M25)/'Cadastro de Insumos'!$L$84)*1000,(('Cadastro de Insumos'!$E$84*M25)*1000)))</f>
        <v/>
      </c>
    </row>
    <row r="26" spans="2:26">
      <c r="B26" s="252">
        <f>B24+0.01</f>
        <v>0.59000000000000008</v>
      </c>
      <c r="C26" s="50"/>
      <c r="D26" s="50"/>
      <c r="E26" s="50"/>
      <c r="F26" s="63"/>
      <c r="G26" s="63"/>
      <c r="H26" s="63"/>
      <c r="I26" s="63"/>
      <c r="J26" s="63"/>
      <c r="K26" s="63"/>
      <c r="L26" s="63"/>
      <c r="M26" s="64" t="str">
        <f>IF(M27="","","+"&amp;ROUND(M27-M25,3))</f>
        <v>+0,132</v>
      </c>
      <c r="N26" s="65" t="str">
        <f>IF(N27="","","+"&amp;ROUND(N27-N25,3))</f>
        <v/>
      </c>
      <c r="O26" s="66" t="str">
        <f>IF(O27="","","+"&amp;ROUND(O27-O25,3))</f>
        <v/>
      </c>
      <c r="P26" s="64" t="str">
        <f t="shared" ref="P26" si="78">IF(P27="","","+"&amp;ROUND(P27-P25,3))</f>
        <v>+0,395</v>
      </c>
      <c r="Q26" s="65" t="str">
        <f t="shared" ref="Q26" si="79">IF(Q27="","","+"&amp;ROUND(Q27-Q25,3))</f>
        <v/>
      </c>
      <c r="R26" s="67" t="str">
        <f t="shared" ref="R26" si="80">IF(R27="","","+"&amp;ROUND(R27-R25,3))</f>
        <v/>
      </c>
      <c r="S26" s="64" t="str">
        <f t="shared" ref="S26" si="81">IF(S27="","","+"&amp;ROUND(S27-S25,3))</f>
        <v/>
      </c>
      <c r="T26" s="65" t="str">
        <f t="shared" ref="T26" si="82">IF(T27="","","+"&amp;ROUND(T27-T25,3))</f>
        <v/>
      </c>
      <c r="U26" s="65" t="str">
        <f t="shared" ref="U26" si="83">IF(U27="","","+"&amp;ROUND(U27-U25,3))</f>
        <v/>
      </c>
      <c r="V26" s="67" t="str">
        <f t="shared" ref="V26" si="84">IF(V27="","","+"&amp;ROUND(V27-V25,3))</f>
        <v/>
      </c>
      <c r="W26" s="64" t="str">
        <f t="shared" ref="W26" si="85">IF(W27="","","+"&amp;ROUND(W27-W25,3))</f>
        <v/>
      </c>
      <c r="X26" s="65" t="str">
        <f t="shared" ref="X26" si="86">IF(X27="","","+"&amp;ROUND(X27-X25,3))</f>
        <v/>
      </c>
      <c r="Y26" s="65" t="str">
        <f t="shared" ref="Y26" si="87">IF(Y27="","","+"&amp;ROUND(Y27-Y25,3))</f>
        <v/>
      </c>
      <c r="Z26" s="67" t="str">
        <f t="shared" ref="Z26" si="88">IF(Z27="","","+"&amp;ROUND(Z27-Z25,3))</f>
        <v/>
      </c>
    </row>
    <row r="27" spans="2:26" ht="16.5" thickBot="1">
      <c r="B27" s="253"/>
      <c r="C27" s="60">
        <f>1*'Cadastro de Insumos'!$P$6</f>
        <v>1</v>
      </c>
      <c r="D27" s="60">
        <f>1*'Cadastro de Insumos'!$P$10</f>
        <v>0</v>
      </c>
      <c r="E27" s="60">
        <f>1*'Cadastro de Insumos'!$P$14</f>
        <v>0</v>
      </c>
      <c r="F27" s="57">
        <f>(B26*(1+$B$6)-1)*'Cadastro de Insumos'!$P$20</f>
        <v>0.95200000000000018</v>
      </c>
      <c r="G27" s="57">
        <f>(B26*(1+$B$6)-1)*'Cadastro de Insumos'!$P$24</f>
        <v>0</v>
      </c>
      <c r="H27" s="57">
        <f>(B26*(1+$B$6)-1)*'Cadastro de Insumos'!$P$28</f>
        <v>0</v>
      </c>
      <c r="I27" s="57">
        <f>($B$6-(SUM(F27:H27)))*'Cadastro de Insumos'!$P$34</f>
        <v>1.2287999999999999</v>
      </c>
      <c r="J27" s="57">
        <f>($B$6-(SUM(F27:H27)))*'Cadastro de Insumos'!$P$38</f>
        <v>0.81920000000000004</v>
      </c>
      <c r="K27" s="57">
        <f>($B$6-(SUM(F27:H27)))*'Cadastro de Insumos'!$P$42</f>
        <v>0</v>
      </c>
      <c r="L27" s="57">
        <f>($B$6-(SUM(F27:H27)))*'Cadastro de Insumos'!$P$46</f>
        <v>0</v>
      </c>
      <c r="M27" s="56">
        <f>IF(C27=0,"",('Escopo de Estudo'!$D$30/SUM('Ficha de Dosagem - A'!I27:L27))*C27)</f>
        <v>9.765625</v>
      </c>
      <c r="N27" s="57" t="str">
        <f>IF(N10="","",('Escopo de Estudo'!$D$30/SUM('Ficha de Dosagem - A'!I27:L27))*D27)</f>
        <v/>
      </c>
      <c r="O27" s="58" t="str">
        <f>IF(O10="","",('Escopo de Estudo'!$D$30/SUM('Ficha de Dosagem - A'!I27:L27))*E27)</f>
        <v/>
      </c>
      <c r="P27" s="56">
        <f t="shared" si="11"/>
        <v>9.2968750000000018</v>
      </c>
      <c r="Q27" s="72" t="str">
        <f>IF($Q$10="","",SUM(M27:O27)*G27)</f>
        <v/>
      </c>
      <c r="R27" s="55" t="str">
        <f>IF($R$10="","",SUM(M27:O27)*H27)</f>
        <v/>
      </c>
      <c r="S27" s="56" t="str">
        <f>IF('Cadastro de Insumos'!$O$52=FALSE,"",IF('Cadastro de Insumos'!$P$52=FALSE,(('Cadastro de Insumos'!$E$54*M27)/'Cadastro de Insumos'!$L$54)*1000,(('Cadastro de Insumos'!$E$54*M27)*1000)))</f>
        <v/>
      </c>
      <c r="T27" s="57" t="str">
        <f>IF('Cadastro de Insumos'!$O$56=FALSE,"",IF('Cadastro de Insumos'!$P$56=FALSE,(('Cadastro de Insumos'!$E$58*M27)/'Cadastro de Insumos'!$L$58)*1000,(('Cadastro de Insumos'!$E$58*M27)*1000)))</f>
        <v/>
      </c>
      <c r="U27" s="57" t="str">
        <f>IF('Cadastro de Insumos'!$O$60=FALSE,"",IF('Cadastro de Insumos'!$P$60=FALSE,(('Cadastro de Insumos'!$E$62*M27)/'Cadastro de Insumos'!$L$62)*1000,(('Cadastro de Insumos'!$E$62*M27)*1000)))</f>
        <v/>
      </c>
      <c r="V27" s="58" t="str">
        <f>IF('Cadastro de Insumos'!$O$64=FALSE,"",IF('Cadastro de Insumos'!$P$64=FALSE,(('Cadastro de Insumos'!$E$66*M27)/'Cadastro de Insumos'!$L$66)*1000,(('Cadastro de Insumos'!$E$66*M27)*1000)))</f>
        <v/>
      </c>
      <c r="W27" s="56" t="str">
        <f>IF('Cadastro de Insumos'!$O$70=FALSE,"",IF('Cadastro de Insumos'!$P$70=FALSE,(('Cadastro de Insumos'!$E$72*M27)/'Cadastro de Insumos'!$L$72)*1000,(('Cadastro de Insumos'!$E$72*M27)*1000)))</f>
        <v/>
      </c>
      <c r="X27" s="57" t="str">
        <f>IF('Cadastro de Insumos'!$O$74=FALSE,"",IF('Cadastro de Insumos'!$P$74=FALSE,(('Cadastro de Insumos'!$E$76*M27)/'Cadastro de Insumos'!$L$76)*1000,(('Cadastro de Insumos'!$E$76*M27)*1000)))</f>
        <v/>
      </c>
      <c r="Y27" s="57" t="str">
        <f>IF('Cadastro de Insumos'!$O$78=FALSE,"",IF('Cadastro de Insumos'!$P$78=FALSE,(('Cadastro de Insumos'!$E$80*M27)/'Cadastro de Insumos'!$L$80)*1000,(('Cadastro de Insumos'!$E$80*M27)*1000)))</f>
        <v/>
      </c>
      <c r="Z27" s="58" t="str">
        <f>IF('Cadastro de Insumos'!$O$82=FALSE,"",IF('Cadastro de Insumos'!$P$82=FALSE,(('Cadastro de Insumos'!$E$84*M27)/'Cadastro de Insumos'!$L$84)*1000,(('Cadastro de Insumos'!$E$84*M27)*1000)))</f>
        <v/>
      </c>
    </row>
    <row r="28" spans="2:26">
      <c r="B28" s="252">
        <f>B26+0.01</f>
        <v>0.60000000000000009</v>
      </c>
      <c r="C28" s="50"/>
      <c r="D28" s="50"/>
      <c r="E28" s="50"/>
      <c r="F28" s="63"/>
      <c r="G28" s="63"/>
      <c r="H28" s="63"/>
      <c r="I28" s="63"/>
      <c r="J28" s="63"/>
      <c r="K28" s="63"/>
      <c r="L28" s="63"/>
      <c r="M28" s="64" t="str">
        <f>IF(M29="","","+"&amp;ROUND(M29-M27,3))</f>
        <v>+0,135</v>
      </c>
      <c r="N28" s="65" t="str">
        <f>IF(N29="","","+"&amp;ROUND(N29-N27,3))</f>
        <v/>
      </c>
      <c r="O28" s="66" t="str">
        <f>IF(O29="","","+"&amp;ROUND(O29-O27,3))</f>
        <v/>
      </c>
      <c r="P28" s="64" t="str">
        <f t="shared" ref="P28" si="89">IF(P29="","","+"&amp;ROUND(P29-P27,3))</f>
        <v>+0,406</v>
      </c>
      <c r="Q28" s="65" t="str">
        <f t="shared" ref="Q28" si="90">IF(Q29="","","+"&amp;ROUND(Q29-Q27,3))</f>
        <v/>
      </c>
      <c r="R28" s="67" t="str">
        <f t="shared" ref="R28" si="91">IF(R29="","","+"&amp;ROUND(R29-R27,3))</f>
        <v/>
      </c>
      <c r="S28" s="64" t="str">
        <f t="shared" ref="S28" si="92">IF(S29="","","+"&amp;ROUND(S29-S27,3))</f>
        <v/>
      </c>
      <c r="T28" s="65" t="str">
        <f t="shared" ref="T28" si="93">IF(T29="","","+"&amp;ROUND(T29-T27,3))</f>
        <v/>
      </c>
      <c r="U28" s="65" t="str">
        <f t="shared" ref="U28" si="94">IF(U29="","","+"&amp;ROUND(U29-U27,3))</f>
        <v/>
      </c>
      <c r="V28" s="67" t="str">
        <f t="shared" ref="V28" si="95">IF(V29="","","+"&amp;ROUND(V29-V27,3))</f>
        <v/>
      </c>
      <c r="W28" s="64" t="str">
        <f t="shared" ref="W28" si="96">IF(W29="","","+"&amp;ROUND(W29-W27,3))</f>
        <v/>
      </c>
      <c r="X28" s="65" t="str">
        <f t="shared" ref="X28" si="97">IF(X29="","","+"&amp;ROUND(X29-X27,3))</f>
        <v/>
      </c>
      <c r="Y28" s="65" t="str">
        <f t="shared" ref="Y28" si="98">IF(Y29="","","+"&amp;ROUND(Y29-Y27,3))</f>
        <v/>
      </c>
      <c r="Z28" s="67" t="str">
        <f t="shared" ref="Z28" si="99">IF(Z29="","","+"&amp;ROUND(Z29-Z27,3))</f>
        <v/>
      </c>
    </row>
    <row r="29" spans="2:26" ht="16.5" thickBot="1">
      <c r="B29" s="253"/>
      <c r="C29" s="60">
        <f>1*'Cadastro de Insumos'!$P$6</f>
        <v>1</v>
      </c>
      <c r="D29" s="60">
        <f>1*'Cadastro de Insumos'!$P$10</f>
        <v>0</v>
      </c>
      <c r="E29" s="60">
        <f>1*'Cadastro de Insumos'!$P$14</f>
        <v>0</v>
      </c>
      <c r="F29" s="57">
        <f>(B28*(1+$B$6)-1)*'Cadastro de Insumos'!$P$20</f>
        <v>0.9800000000000002</v>
      </c>
      <c r="G29" s="57">
        <f>(B28*(1+$B$6)-1)*'Cadastro de Insumos'!$P$24</f>
        <v>0</v>
      </c>
      <c r="H29" s="57">
        <f>(B28*(1+$B$6)-1)*'Cadastro de Insumos'!$P$28</f>
        <v>0</v>
      </c>
      <c r="I29" s="57">
        <f>($B$6-(SUM(F29:H29)))*'Cadastro de Insumos'!$P$34</f>
        <v>1.2119999999999997</v>
      </c>
      <c r="J29" s="57">
        <f>($B$6-(SUM(F29:H29)))*'Cadastro de Insumos'!$P$38</f>
        <v>0.80799999999999983</v>
      </c>
      <c r="K29" s="57">
        <f>($B$6-(SUM(F29:H29)))*'Cadastro de Insumos'!$P$42</f>
        <v>0</v>
      </c>
      <c r="L29" s="57">
        <f>($B$6-(SUM(F29:H29)))*'Cadastro de Insumos'!$P$46</f>
        <v>0</v>
      </c>
      <c r="M29" s="56">
        <f>IF(C29=0,"",('Escopo de Estudo'!$D$30/SUM('Ficha de Dosagem - A'!I29:L29))*C29)</f>
        <v>9.9009900990099027</v>
      </c>
      <c r="N29" s="57" t="str">
        <f>IF(N10="","",('Escopo de Estudo'!$D$30/SUM('Ficha de Dosagem - A'!I29:L29))*D29)</f>
        <v/>
      </c>
      <c r="O29" s="58" t="str">
        <f>IF(O10="","",('Escopo de Estudo'!$D$30/SUM('Ficha de Dosagem - A'!I29:L29))*E29)</f>
        <v/>
      </c>
      <c r="P29" s="56">
        <f t="shared" si="11"/>
        <v>9.7029702970297063</v>
      </c>
      <c r="Q29" s="72" t="str">
        <f>IF($Q$10="","",SUM(M29:O29)*G29)</f>
        <v/>
      </c>
      <c r="R29" s="55" t="str">
        <f>IF($R$10="","",SUM(M29:O29)*H29)</f>
        <v/>
      </c>
      <c r="S29" s="56" t="str">
        <f>IF('Cadastro de Insumos'!$O$52=FALSE,"",IF('Cadastro de Insumos'!$P$52=FALSE,(('Cadastro de Insumos'!$E$54*M29)/'Cadastro de Insumos'!$L$54)*1000,(('Cadastro de Insumos'!$E$54*M29)*1000)))</f>
        <v/>
      </c>
      <c r="T29" s="57" t="str">
        <f>IF('Cadastro de Insumos'!$O$56=FALSE,"",IF('Cadastro de Insumos'!$P$56=FALSE,(('Cadastro de Insumos'!$E$58*M29)/'Cadastro de Insumos'!$L$58)*1000,(('Cadastro de Insumos'!$E$58*M29)*1000)))</f>
        <v/>
      </c>
      <c r="U29" s="57" t="str">
        <f>IF('Cadastro de Insumos'!$O$60=FALSE,"",IF('Cadastro de Insumos'!$P$60=FALSE,(('Cadastro de Insumos'!$E$62*M29)/'Cadastro de Insumos'!$L$62)*1000,(('Cadastro de Insumos'!$E$62*M29)*1000)))</f>
        <v/>
      </c>
      <c r="V29" s="58" t="str">
        <f>IF('Cadastro de Insumos'!$O$64=FALSE,"",IF('Cadastro de Insumos'!$P$64=FALSE,(('Cadastro de Insumos'!$E$66*M29)/'Cadastro de Insumos'!$L$66)*1000,(('Cadastro de Insumos'!$E$66*M29)*1000)))</f>
        <v/>
      </c>
      <c r="W29" s="56" t="str">
        <f>IF('Cadastro de Insumos'!$O$70=FALSE,"",IF('Cadastro de Insumos'!$P$70=FALSE,(('Cadastro de Insumos'!$E$72*M29)/'Cadastro de Insumos'!$L$72)*1000,(('Cadastro de Insumos'!$E$72*M29)*1000)))</f>
        <v/>
      </c>
      <c r="X29" s="57" t="str">
        <f>IF('Cadastro de Insumos'!$O$74=FALSE,"",IF('Cadastro de Insumos'!$P$74=FALSE,(('Cadastro de Insumos'!$E$76*M29)/'Cadastro de Insumos'!$L$76)*1000,(('Cadastro de Insumos'!$E$76*M29)*1000)))</f>
        <v/>
      </c>
      <c r="Y29" s="57" t="str">
        <f>IF('Cadastro de Insumos'!$O$78=FALSE,"",IF('Cadastro de Insumos'!$P$78=FALSE,(('Cadastro de Insumos'!$E$80*M29)/'Cadastro de Insumos'!$L$80)*1000,(('Cadastro de Insumos'!$E$80*M29)*1000)))</f>
        <v/>
      </c>
      <c r="Z29" s="58" t="str">
        <f>IF('Cadastro de Insumos'!$O$82=FALSE,"",IF('Cadastro de Insumos'!$P$82=FALSE,(('Cadastro de Insumos'!$E$84*M29)/'Cadastro de Insumos'!$L$84)*1000,(('Cadastro de Insumos'!$E$84*M29)*1000)))</f>
        <v/>
      </c>
    </row>
    <row r="30" spans="2:26">
      <c r="B30" s="252">
        <f>B28+0.01</f>
        <v>0.6100000000000001</v>
      </c>
      <c r="C30" s="50"/>
      <c r="D30" s="50"/>
      <c r="E30" s="50"/>
      <c r="F30" s="63"/>
      <c r="G30" s="63"/>
      <c r="H30" s="63"/>
      <c r="I30" s="63"/>
      <c r="J30" s="63"/>
      <c r="K30" s="63"/>
      <c r="L30" s="63"/>
      <c r="M30" s="64" t="str">
        <f>IF(M31="","","+"&amp;ROUND(M31-M29,3))</f>
        <v>+0,139</v>
      </c>
      <c r="N30" s="65" t="str">
        <f>IF(N31="","","+"&amp;ROUND(N31-N29,3))</f>
        <v/>
      </c>
      <c r="O30" s="66" t="str">
        <f>IF(O31="","","+"&amp;ROUND(O31-O29,3))</f>
        <v/>
      </c>
      <c r="P30" s="64" t="str">
        <f t="shared" ref="P30:Z30" si="100">IF(P31="","","+"&amp;ROUND(P31-P29,3))</f>
        <v>+0,418</v>
      </c>
      <c r="Q30" s="65" t="str">
        <f t="shared" si="100"/>
        <v/>
      </c>
      <c r="R30" s="67" t="str">
        <f t="shared" si="100"/>
        <v/>
      </c>
      <c r="S30" s="64" t="str">
        <f t="shared" si="100"/>
        <v/>
      </c>
      <c r="T30" s="65" t="str">
        <f t="shared" si="100"/>
        <v/>
      </c>
      <c r="U30" s="65" t="str">
        <f t="shared" si="100"/>
        <v/>
      </c>
      <c r="V30" s="67" t="str">
        <f t="shared" si="100"/>
        <v/>
      </c>
      <c r="W30" s="64" t="str">
        <f t="shared" si="100"/>
        <v/>
      </c>
      <c r="X30" s="65" t="str">
        <f t="shared" si="100"/>
        <v/>
      </c>
      <c r="Y30" s="65" t="str">
        <f t="shared" si="100"/>
        <v/>
      </c>
      <c r="Z30" s="67" t="str">
        <f t="shared" si="100"/>
        <v/>
      </c>
    </row>
    <row r="31" spans="2:26" ht="16.5" thickBot="1">
      <c r="B31" s="253"/>
      <c r="C31" s="60">
        <f>1*'Cadastro de Insumos'!$P$6</f>
        <v>1</v>
      </c>
      <c r="D31" s="60">
        <f>1*'Cadastro de Insumos'!$P$10</f>
        <v>0</v>
      </c>
      <c r="E31" s="60">
        <f>1*'Cadastro de Insumos'!$P$14</f>
        <v>0</v>
      </c>
      <c r="F31" s="57">
        <f>(B30*(1+$B$6)-1)*'Cadastro de Insumos'!$P$20</f>
        <v>1.0080000000000002</v>
      </c>
      <c r="G31" s="57">
        <f>(B30*(1+$B$6)-1)*'Cadastro de Insumos'!$P$24</f>
        <v>0</v>
      </c>
      <c r="H31" s="57">
        <f>(B30*(1+$B$6)-1)*'Cadastro de Insumos'!$P$28</f>
        <v>0</v>
      </c>
      <c r="I31" s="57">
        <f>($B$6-(SUM(F31:H31)))*'Cadastro de Insumos'!$P$34</f>
        <v>1.1951999999999998</v>
      </c>
      <c r="J31" s="57">
        <f>($B$6-(SUM(F31:H31)))*'Cadastro de Insumos'!$P$38</f>
        <v>0.79679999999999995</v>
      </c>
      <c r="K31" s="57">
        <f>($B$6-(SUM(F31:H31)))*'Cadastro de Insumos'!$P$42</f>
        <v>0</v>
      </c>
      <c r="L31" s="57">
        <f>($B$6-(SUM(F31:H31)))*'Cadastro de Insumos'!$P$46</f>
        <v>0</v>
      </c>
      <c r="M31" s="56">
        <f>IF(C31=0,"",('Escopo de Estudo'!$D$30/SUM('Ficha de Dosagem - A'!I31:L31))*C31)</f>
        <v>10.040160642570282</v>
      </c>
      <c r="N31" s="57" t="str">
        <f>IF(N10="","",('Escopo de Estudo'!$D$30/SUM('Ficha de Dosagem - A'!I31:L31))*D31)</f>
        <v/>
      </c>
      <c r="O31" s="58" t="str">
        <f>IF(O10="","",('Escopo de Estudo'!$D$30/SUM('Ficha de Dosagem - A'!I31:L31))*E31)</f>
        <v/>
      </c>
      <c r="P31" s="56">
        <f t="shared" si="11"/>
        <v>10.120481927710847</v>
      </c>
      <c r="Q31" s="57" t="str">
        <f>IF($Q$10="","",SUM(M31:O31)*G31)</f>
        <v/>
      </c>
      <c r="R31" s="58" t="str">
        <f>IF($R$10="","",SUM(M31:O31)*H31)</f>
        <v/>
      </c>
      <c r="S31" s="56" t="str">
        <f>IF('Cadastro de Insumos'!$O$52=FALSE,"",IF('Cadastro de Insumos'!$P$52=FALSE,(('Cadastro de Insumos'!$E$54*M31)/'Cadastro de Insumos'!$L$54)*1000,(('Cadastro de Insumos'!$E$54*M31)*1000)))</f>
        <v/>
      </c>
      <c r="T31" s="57" t="str">
        <f>IF('Cadastro de Insumos'!$O$56=FALSE,"",IF('Cadastro de Insumos'!$P$56=FALSE,(('Cadastro de Insumos'!$E$58*M31)/'Cadastro de Insumos'!$L$58)*1000,(('Cadastro de Insumos'!$E$58*M31)*1000)))</f>
        <v/>
      </c>
      <c r="U31" s="57" t="str">
        <f>IF('Cadastro de Insumos'!$O$60=FALSE,"",IF('Cadastro de Insumos'!$P$60=FALSE,(('Cadastro de Insumos'!$E$62*M31)/'Cadastro de Insumos'!$L$62)*1000,(('Cadastro de Insumos'!$E$62*M31)*1000)))</f>
        <v/>
      </c>
      <c r="V31" s="58" t="str">
        <f>IF('Cadastro de Insumos'!$O$64=FALSE,"",IF('Cadastro de Insumos'!$P$64=FALSE,(('Cadastro de Insumos'!$E$66*M31)/'Cadastro de Insumos'!$L$66)*1000,(('Cadastro de Insumos'!$E$66*M31)*1000)))</f>
        <v/>
      </c>
      <c r="W31" s="56" t="str">
        <f>IF('Cadastro de Insumos'!$O$70=FALSE,"",IF('Cadastro de Insumos'!$P$70=FALSE,(('Cadastro de Insumos'!$E$72*M31)/'Cadastro de Insumos'!$L$72)*1000,(('Cadastro de Insumos'!$E$72*M31)*1000)))</f>
        <v/>
      </c>
      <c r="X31" s="57" t="str">
        <f>IF('Cadastro de Insumos'!$O$74=FALSE,"",IF('Cadastro de Insumos'!$P$74=FALSE,(('Cadastro de Insumos'!$E$76*M31)/'Cadastro de Insumos'!$L$76)*1000,(('Cadastro de Insumos'!$E$76*M31)*1000)))</f>
        <v/>
      </c>
      <c r="Y31" s="57" t="str">
        <f>IF('Cadastro de Insumos'!$O$78=FALSE,"",IF('Cadastro de Insumos'!$P$78=FALSE,(('Cadastro de Insumos'!$E$80*M31)/'Cadastro de Insumos'!$L$80)*1000,(('Cadastro de Insumos'!$E$80*M31)*1000)))</f>
        <v/>
      </c>
      <c r="Z31" s="58" t="str">
        <f>IF('Cadastro de Insumos'!$O$82=FALSE,"",IF('Cadastro de Insumos'!$P$82=FALSE,(('Cadastro de Insumos'!$E$84*M31)/'Cadastro de Insumos'!$L$84)*1000,(('Cadastro de Insumos'!$E$84*M31)*1000)))</f>
        <v/>
      </c>
    </row>
  </sheetData>
  <mergeCells count="34">
    <mergeCell ref="U2:W2"/>
    <mergeCell ref="Q7:R7"/>
    <mergeCell ref="N7:O7"/>
    <mergeCell ref="T8:V8"/>
    <mergeCell ref="X7:Z7"/>
    <mergeCell ref="X8:Z8"/>
    <mergeCell ref="N2:O2"/>
    <mergeCell ref="N3:O3"/>
    <mergeCell ref="U3:W3"/>
    <mergeCell ref="X5:Z5"/>
    <mergeCell ref="X6:Z6"/>
    <mergeCell ref="T7:V7"/>
    <mergeCell ref="Q5:R5"/>
    <mergeCell ref="Q6:R6"/>
    <mergeCell ref="T5:V5"/>
    <mergeCell ref="T6:V6"/>
    <mergeCell ref="B26:B27"/>
    <mergeCell ref="B28:B29"/>
    <mergeCell ref="B30:B31"/>
    <mergeCell ref="N5:O5"/>
    <mergeCell ref="N6:O6"/>
    <mergeCell ref="B12:B13"/>
    <mergeCell ref="B14:B15"/>
    <mergeCell ref="B16:B17"/>
    <mergeCell ref="B18:B19"/>
    <mergeCell ref="B20:B21"/>
    <mergeCell ref="B22:B23"/>
    <mergeCell ref="C9:K9"/>
    <mergeCell ref="M9:O9"/>
    <mergeCell ref="P9:R9"/>
    <mergeCell ref="S9:V9"/>
    <mergeCell ref="W9:Z9"/>
    <mergeCell ref="B9:B10"/>
    <mergeCell ref="B24:B2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6AF51E3-2FD9-47D4-83F4-5BC74FA6C40C}">
            <xm:f>'Dados - Fase Plástica'!$P$1="ERRO"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B2:Z31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FC6E-9FB7-48E2-8D49-55F90A15AEB9}">
  <dimension ref="B1:Z31"/>
  <sheetViews>
    <sheetView view="pageBreakPreview" zoomScaleNormal="100" zoomScaleSheetLayoutView="100" workbookViewId="0">
      <selection activeCell="M11" sqref="M11"/>
    </sheetView>
  </sheetViews>
  <sheetFormatPr defaultColWidth="9.125" defaultRowHeight="15.75"/>
  <cols>
    <col min="1" max="2" width="9.125" style="27"/>
    <col min="3" max="12" width="0" style="27" hidden="1" customWidth="1"/>
    <col min="13" max="18" width="16.125" style="27" customWidth="1"/>
    <col min="19" max="26" width="13.375" style="27" customWidth="1"/>
    <col min="27" max="16384" width="9.125" style="27"/>
  </cols>
  <sheetData>
    <row r="1" spans="2:26" ht="16.5" thickBot="1"/>
    <row r="2" spans="2:26" ht="28.5" customHeight="1">
      <c r="B2" s="49"/>
      <c r="C2" s="50"/>
      <c r="D2" s="50"/>
      <c r="E2" s="50"/>
      <c r="F2" s="50"/>
      <c r="G2" s="50"/>
      <c r="H2" s="50"/>
      <c r="I2" s="50"/>
      <c r="J2" s="50"/>
      <c r="K2" s="50"/>
      <c r="L2" s="50"/>
      <c r="M2" s="49" t="str">
        <f>IF('Cadastro de Insumos'!O34=FALSE,"","p1")</f>
        <v>p1</v>
      </c>
      <c r="N2" s="260" t="str">
        <f>IF(M2="","",'Cadastro de Insumos'!E34&amp;" - "&amp;'Cadastro de Insumos'!E35&amp;" - "&amp;'Cadastro de Insumos'!E36)</f>
        <v>Brita 1 - Serra de São Vicente - Cuiabá-MT</v>
      </c>
      <c r="O2" s="260"/>
      <c r="P2" s="68" t="str">
        <f>IF(M2="","","Quantidade (kg)")</f>
        <v>Quantidade (kg)</v>
      </c>
      <c r="Q2" s="71">
        <f>IF(M2="","",'Escopo de Estudo'!D30*'Cadastro de Insumos'!P34)</f>
        <v>12</v>
      </c>
      <c r="R2" s="50"/>
      <c r="S2" s="50"/>
      <c r="T2" s="49" t="str">
        <f>IF('Cadastro de Insumos'!O42=FALSE,"","p3")</f>
        <v/>
      </c>
      <c r="U2" s="248" t="str">
        <f>IF(T2="","",'Cadastro de Insumos'!E42&amp;" - "&amp;'Cadastro de Insumos'!E43&amp;" - "&amp;'Cadastro de Insumos'!E44)</f>
        <v/>
      </c>
      <c r="V2" s="248"/>
      <c r="W2" s="248"/>
      <c r="X2" s="68" t="str">
        <f>IF(U2="","","Quantidade (kg)")</f>
        <v/>
      </c>
      <c r="Y2" s="51" t="str">
        <f>IF(T2="","",'Escopo de Estudo'!D30*'Cadastro de Insumos'!P42)</f>
        <v/>
      </c>
      <c r="Z2" s="51"/>
    </row>
    <row r="3" spans="2:26" ht="28.5" customHeight="1" thickBot="1">
      <c r="B3" s="52"/>
      <c r="M3" s="59" t="str">
        <f>IF('Cadastro de Insumos'!O38=FALSE,"","p2")</f>
        <v>p2</v>
      </c>
      <c r="N3" s="261" t="str">
        <f>IF(M3="","",'Cadastro de Insumos'!E38&amp;" - "&amp;'Cadastro de Insumos'!E39&amp;" - "&amp;'Cadastro de Insumos'!E40)</f>
        <v>Brita 0 - Serra de São Vicente - Cuiabá-MT</v>
      </c>
      <c r="O3" s="261"/>
      <c r="P3" s="69" t="str">
        <f>IF(M3="","","Quantidade (kg)")</f>
        <v>Quantidade (kg)</v>
      </c>
      <c r="Q3" s="58">
        <f>IF(M3="","",'Escopo de Estudo'!D30*'Cadastro de Insumos'!P38)</f>
        <v>8</v>
      </c>
      <c r="T3" s="59" t="str">
        <f>IF('Cadastro de Insumos'!O46=FALSE,"","p4")</f>
        <v/>
      </c>
      <c r="U3" s="262" t="str">
        <f>IF(T3="","",'Cadastro de Insumos'!E46&amp;" - "&amp;'Cadastro de Insumos'!E47&amp;" - "&amp;'Cadastro de Insumos'!E48)</f>
        <v/>
      </c>
      <c r="V3" s="262"/>
      <c r="W3" s="262"/>
      <c r="X3" s="69" t="str">
        <f>IF(U3="","","Quantidade (kg)")</f>
        <v/>
      </c>
      <c r="Y3" s="61" t="str">
        <f>IF(T3="","",'Escopo de Estudo'!D30*'Cadastro de Insumos'!P46)</f>
        <v/>
      </c>
      <c r="Z3" s="53"/>
    </row>
    <row r="4" spans="2:26" ht="15.75" customHeight="1" thickBot="1">
      <c r="B4" s="52"/>
      <c r="Z4" s="53"/>
    </row>
    <row r="5" spans="2:26" ht="28.5" customHeight="1">
      <c r="B5" s="47" t="s">
        <v>81</v>
      </c>
      <c r="M5" s="49" t="str">
        <f>M10</f>
        <v>CP</v>
      </c>
      <c r="N5" s="254" t="str">
        <f>IF(M5="","",'Cadastro de Insumos'!E6&amp;" - "&amp;'Cadastro de Insumos'!E7&amp;" - "&amp;'Cadastro de Insumos'!E8)</f>
        <v>CP II F 40 - Votorantim - Cuiabá-MT</v>
      </c>
      <c r="O5" s="255"/>
      <c r="P5" s="49" t="str">
        <f>P10</f>
        <v>a1</v>
      </c>
      <c r="Q5" s="254" t="str">
        <f>IF(P5="","",'Cadastro de Insumos'!E20&amp;" - "&amp;'Cadastro de Insumos'!E21&amp;" - "&amp;'Cadastro de Insumos'!E22)</f>
        <v>Areia Natural do Rio Cuiabá - - - Cuiabá - MT</v>
      </c>
      <c r="R5" s="255"/>
      <c r="S5" s="49" t="str">
        <f>S10</f>
        <v/>
      </c>
      <c r="T5" s="254" t="str">
        <f>IF(S5="","",'Cadastro de Insumos'!E52&amp;" - "&amp;'Cadastro de Insumos'!E53&amp;" - "&amp;'Cadastro de Insumos'!E54*100&amp;"% - "&amp;'Cadastro de Insumos'!L54)</f>
        <v/>
      </c>
      <c r="U5" s="254"/>
      <c r="V5" s="255"/>
      <c r="W5" s="49" t="str">
        <f>W10</f>
        <v/>
      </c>
      <c r="X5" s="254"/>
      <c r="Y5" s="254"/>
      <c r="Z5" s="255"/>
    </row>
    <row r="6" spans="2:26" ht="28.5" customHeight="1" thickBot="1">
      <c r="B6" s="48">
        <f>'Escopo de Estudo'!H8</f>
        <v>4</v>
      </c>
      <c r="M6" s="52" t="str">
        <f>N10</f>
        <v/>
      </c>
      <c r="N6" s="256" t="str">
        <f>IF(M6="","",'Cadastro de Insumos'!E10&amp;" - "&amp;'Cadastro de Insumos'!E11&amp;" - "&amp;'Cadastro de Insumos'!E12)</f>
        <v/>
      </c>
      <c r="O6" s="257"/>
      <c r="P6" s="52" t="str">
        <f>Q10</f>
        <v/>
      </c>
      <c r="Q6" s="256" t="str">
        <f>IF(P6="","",'Cadastro de Insumos'!E24&amp;" - "&amp;'Cadastro de Insumos'!E25&amp;" - "&amp;'Cadastro de Insumos'!E26)</f>
        <v/>
      </c>
      <c r="R6" s="257"/>
      <c r="S6" s="52" t="str">
        <f>T10</f>
        <v/>
      </c>
      <c r="T6" s="256" t="str">
        <f>IF(S6="","",'Cadastro de Insumos'!E56&amp;" - "&amp;'Cadastro de Insumos'!E57&amp;" - "&amp;'Cadastro de Insumos'!E58*100&amp;"% - "&amp;'Cadastro de Insumos'!L58)</f>
        <v/>
      </c>
      <c r="U6" s="256"/>
      <c r="V6" s="257"/>
      <c r="W6" s="52" t="str">
        <f>X10</f>
        <v/>
      </c>
      <c r="X6" s="256"/>
      <c r="Y6" s="256"/>
      <c r="Z6" s="257"/>
    </row>
    <row r="7" spans="2:26" ht="28.5" customHeight="1" thickBot="1">
      <c r="B7" s="52"/>
      <c r="M7" s="59" t="str">
        <f>O10</f>
        <v/>
      </c>
      <c r="N7" s="258" t="str">
        <f>IF(M7="","",'Cadastro de Insumos'!E14&amp;" - "&amp;'Cadastro de Insumos'!E15&amp;" - "&amp;'Cadastro de Insumos'!E16)</f>
        <v/>
      </c>
      <c r="O7" s="259"/>
      <c r="P7" s="59" t="str">
        <f>R10</f>
        <v/>
      </c>
      <c r="Q7" s="258" t="str">
        <f>IF(P7="","",'Cadastro de Insumos'!E28&amp;" - "&amp;'Cadastro de Insumos'!E29&amp;" - "&amp;'Cadastro de Insumos'!E30)</f>
        <v/>
      </c>
      <c r="R7" s="259"/>
      <c r="S7" s="52" t="str">
        <f>U10</f>
        <v/>
      </c>
      <c r="T7" s="256" t="str">
        <f>IF(S7="","",'Cadastro de Insumos'!E60&amp;" - "&amp;'Cadastro de Insumos'!E61&amp;" - "&amp;'Cadastro de Insumos'!E62*100&amp;"% - "&amp;'Cadastro de Insumos'!L62)</f>
        <v/>
      </c>
      <c r="U7" s="256"/>
      <c r="V7" s="257"/>
      <c r="W7" s="52" t="str">
        <f>Y10</f>
        <v/>
      </c>
      <c r="X7" s="256"/>
      <c r="Y7" s="256"/>
      <c r="Z7" s="257"/>
    </row>
    <row r="8" spans="2:26" ht="28.5" customHeight="1" thickBot="1">
      <c r="B8" s="52"/>
      <c r="M8" s="50"/>
      <c r="N8" s="50"/>
      <c r="O8" s="50"/>
      <c r="Q8" s="50"/>
      <c r="R8" s="53"/>
      <c r="S8" s="59" t="str">
        <f>V10</f>
        <v/>
      </c>
      <c r="T8" s="258" t="str">
        <f>IF(S8="","",'Cadastro de Insumos'!E64&amp;" - "&amp;'Cadastro de Insumos'!E65&amp;" - "&amp;'Cadastro de Insumos'!E66*100&amp;"% - "&amp;'Cadastro de Insumos'!L66)</f>
        <v/>
      </c>
      <c r="U8" s="258"/>
      <c r="V8" s="259"/>
      <c r="W8" s="59" t="str">
        <f>Z10</f>
        <v/>
      </c>
      <c r="X8" s="258"/>
      <c r="Y8" s="258"/>
      <c r="Z8" s="259"/>
    </row>
    <row r="9" spans="2:26">
      <c r="B9" s="250" t="s">
        <v>65</v>
      </c>
      <c r="C9" s="248" t="s">
        <v>121</v>
      </c>
      <c r="D9" s="248"/>
      <c r="E9" s="248"/>
      <c r="F9" s="248"/>
      <c r="G9" s="248"/>
      <c r="H9" s="248"/>
      <c r="I9" s="248"/>
      <c r="J9" s="248"/>
      <c r="K9" s="248"/>
      <c r="L9" s="50"/>
      <c r="M9" s="247" t="s">
        <v>122</v>
      </c>
      <c r="N9" s="248"/>
      <c r="O9" s="249"/>
      <c r="P9" s="247" t="s">
        <v>123</v>
      </c>
      <c r="Q9" s="248"/>
      <c r="R9" s="249"/>
      <c r="S9" s="247" t="s">
        <v>124</v>
      </c>
      <c r="T9" s="248"/>
      <c r="U9" s="248"/>
      <c r="V9" s="249"/>
      <c r="W9" s="247" t="s">
        <v>125</v>
      </c>
      <c r="X9" s="248"/>
      <c r="Y9" s="248"/>
      <c r="Z9" s="249"/>
    </row>
    <row r="10" spans="2:26" ht="16.5" thickBot="1">
      <c r="B10" s="251"/>
      <c r="C10" s="60" t="s">
        <v>79</v>
      </c>
      <c r="D10" s="60" t="s">
        <v>126</v>
      </c>
      <c r="E10" s="60" t="s">
        <v>127</v>
      </c>
      <c r="F10" s="60" t="s">
        <v>128</v>
      </c>
      <c r="G10" s="60" t="s">
        <v>129</v>
      </c>
      <c r="H10" s="60" t="s">
        <v>130</v>
      </c>
      <c r="I10" s="60" t="s">
        <v>131</v>
      </c>
      <c r="J10" s="60" t="s">
        <v>132</v>
      </c>
      <c r="K10" s="60" t="s">
        <v>133</v>
      </c>
      <c r="L10" s="60" t="s">
        <v>134</v>
      </c>
      <c r="M10" s="59" t="s">
        <v>79</v>
      </c>
      <c r="N10" s="60" t="str">
        <f>IF('Cadastro de Insumos'!O10=FALSE,"","MCS1")</f>
        <v/>
      </c>
      <c r="O10" s="61" t="str">
        <f>IF('Cadastro de Insumos'!O14=FALSE,"","MCS2")</f>
        <v/>
      </c>
      <c r="P10" s="59" t="str">
        <f>IF('Cadastro de Insumos'!O20=FALSE,"","a1")</f>
        <v>a1</v>
      </c>
      <c r="Q10" s="60" t="str">
        <f>IF('Cadastro de Insumos'!O24=FALSE,"","a2")</f>
        <v/>
      </c>
      <c r="R10" s="61" t="str">
        <f>IF('Cadastro de Insumos'!O28=FALSE,"","a3")</f>
        <v/>
      </c>
      <c r="S10" s="59" t="str">
        <f>IF('Cadastro de Insumos'!O52=FALSE,"","Adt1"&amp;IF('Cadastro de Insumos'!P52=FALSE," - ml"," - g"))</f>
        <v/>
      </c>
      <c r="T10" s="60" t="str">
        <f>IF('Cadastro de Insumos'!O56=FALSE,"","Adt2"&amp;IF('Cadastro de Insumos'!P56=FALSE," - ml"," - g"))</f>
        <v/>
      </c>
      <c r="U10" s="60" t="str">
        <f>IF('Cadastro de Insumos'!O60=FALSE,"","Adt3"&amp;IF('Cadastro de Insumos'!P60=FALSE," - ml"," - g"))</f>
        <v/>
      </c>
      <c r="V10" s="61" t="str">
        <f>IF('Cadastro de Insumos'!O64=FALSE,"","Adt4"&amp;IF('Cadastro de Insumos'!P64=FALSE," - ml"," - g"))</f>
        <v/>
      </c>
      <c r="W10" s="59" t="str">
        <f>IF('Cadastro de Insumos'!O70=FALSE,"","Adc1"&amp;IF('Cadastro de Insumos'!P70=FALSE," - ml"," - g"))</f>
        <v/>
      </c>
      <c r="X10" s="60" t="str">
        <f>IF('Cadastro de Insumos'!O74=FALSE,"","Adc2"&amp;IF('Cadastro de Insumos'!P74=FALSE," - ml"," - g"))</f>
        <v/>
      </c>
      <c r="Y10" s="60" t="str">
        <f>IF('Cadastro de Insumos'!O78=FALSE,"","Adc4"&amp;IF('Cadastro de Insumos'!P78=FALSE," - ml"," - g"))</f>
        <v/>
      </c>
      <c r="Z10" s="61" t="str">
        <f>IF('Cadastro de Insumos'!O82=FALSE,"","Adc4"&amp;IF('Cadastro de Insumos'!P82=FALSE," - ml"," - g"))</f>
        <v/>
      </c>
    </row>
    <row r="11" spans="2:26" ht="16.5" thickBot="1">
      <c r="B11" s="62">
        <f>'Escopo de Estudo'!J30</f>
        <v>0.51</v>
      </c>
      <c r="C11" s="27">
        <f>1*'Cadastro de Insumos'!$P$6</f>
        <v>1</v>
      </c>
      <c r="D11" s="27">
        <f>1*'Cadastro de Insumos'!$P$10</f>
        <v>0</v>
      </c>
      <c r="E11" s="27">
        <f>1*'Cadastro de Insumos'!$P$14</f>
        <v>0</v>
      </c>
      <c r="F11" s="72">
        <f>(B11*(1+$B$6)-1)*'Cadastro de Insumos'!$P$20</f>
        <v>1.0849999999999997</v>
      </c>
      <c r="G11" s="72">
        <f>(B11*(1+$B$6)-1)*'Cadastro de Insumos'!$P$24</f>
        <v>0</v>
      </c>
      <c r="H11" s="72">
        <f>(B11*(1+$B$6)-1)*'Cadastro de Insumos'!$P$28</f>
        <v>0</v>
      </c>
      <c r="I11" s="72">
        <f>($B$6-(SUM(F11:H11)))*'Cadastro de Insumos'!$P$34</f>
        <v>1.7489999999999999</v>
      </c>
      <c r="J11" s="72">
        <f>($B$6-(SUM(F11:H11)))*'Cadastro de Insumos'!$P$38</f>
        <v>1.1660000000000001</v>
      </c>
      <c r="K11" s="72">
        <f>($B$6-(SUM(F11:H11)))*'Cadastro de Insumos'!$P$42</f>
        <v>0</v>
      </c>
      <c r="L11" s="72">
        <f>($B$6-(SUM(F11:H11)))*'Cadastro de Insumos'!$P$46</f>
        <v>0</v>
      </c>
      <c r="M11" s="54">
        <f>IF(C11=0,"",('Escopo de Estudo'!$D$30/SUM('Ficha de Dosagem - B'!I11:L11))*C11)</f>
        <v>6.8610634648370494</v>
      </c>
      <c r="N11" s="72" t="str">
        <f>IF(N10="","",('Escopo de Estudo'!$D$30/SUM('Ficha de Dosagem - B'!I11:L11))*D11)</f>
        <v/>
      </c>
      <c r="O11" s="55" t="str">
        <f>IF(O10="","",('Escopo de Estudo'!$D$30/SUM('Ficha de Dosagem - B'!I11:L11))*E11)</f>
        <v/>
      </c>
      <c r="P11" s="54">
        <f>IF(F11=0,"",SUM(M11:O11)*F11)</f>
        <v>7.4442538593481968</v>
      </c>
      <c r="Q11" s="72" t="str">
        <f>IF($Q$10="","",SUM(M11:O11)*G11)</f>
        <v/>
      </c>
      <c r="R11" s="55" t="str">
        <f>IF($R$10="","",SUM(M11:O11)*H11)</f>
        <v/>
      </c>
      <c r="S11" s="54" t="str">
        <f>IF('Cadastro de Insumos'!$O$52=FALSE,"",IF('Cadastro de Insumos'!$P$52=FALSE,(('Cadastro de Insumos'!$E$54*M11)/'Cadastro de Insumos'!$L$54)*1000,(('Cadastro de Insumos'!$E$54*M11)*1000)))</f>
        <v/>
      </c>
      <c r="T11" s="72" t="str">
        <f>IF('Cadastro de Insumos'!$O$56=FALSE,"",IF('Cadastro de Insumos'!$P$56=FALSE,(('Cadastro de Insumos'!$E$58*M11)/'Cadastro de Insumos'!$L$58)*1000,(('Cadastro de Insumos'!$E$58*M11)*1000)))</f>
        <v/>
      </c>
      <c r="U11" s="72" t="str">
        <f>IF('Cadastro de Insumos'!$O$60=FALSE,"",IF('Cadastro de Insumos'!$P$60=FALSE,(('Cadastro de Insumos'!$E$62*M11)/'Cadastro de Insumos'!$L$62)*1000,(('Cadastro de Insumos'!$E$62*M11)*1000)))</f>
        <v/>
      </c>
      <c r="V11" s="55" t="str">
        <f>IF('Cadastro de Insumos'!$O$64=FALSE,"",IF('Cadastro de Insumos'!$P$64=FALSE,(('Cadastro de Insumos'!$E$66*M11)/'Cadastro de Insumos'!$L$66)*1000,(('Cadastro de Insumos'!$E$66*M11)*1000)))</f>
        <v/>
      </c>
      <c r="W11" s="54" t="str">
        <f>IF('Cadastro de Insumos'!$O$70=FALSE,"",IF('Cadastro de Insumos'!$P$70=FALSE,(('Cadastro de Insumos'!$E$72*M11)/'Cadastro de Insumos'!$L$72)*1000,(('Cadastro de Insumos'!$E$72*M11)*1000)))</f>
        <v/>
      </c>
      <c r="X11" s="72" t="str">
        <f>IF('Cadastro de Insumos'!$O$74=FALSE,"",IF('Cadastro de Insumos'!$P$74=FALSE,(('Cadastro de Insumos'!$E$76*M11)/'Cadastro de Insumos'!$L$76)*1000,(('Cadastro de Insumos'!$E$76*M11)*1000)))</f>
        <v/>
      </c>
      <c r="Y11" s="72" t="str">
        <f>IF('Cadastro de Insumos'!$O$78=FALSE,"",IF('Cadastro de Insumos'!$P$78=FALSE,(('Cadastro de Insumos'!$E$80*M11)/'Cadastro de Insumos'!$L$80)*1000,(('Cadastro de Insumos'!$E$80*M11)*1000)))</f>
        <v/>
      </c>
      <c r="Z11" s="55" t="str">
        <f>IF('Cadastro de Insumos'!$O$82=FALSE,"",IF('Cadastro de Insumos'!$P$82=FALSE,(('Cadastro de Insumos'!$E$84*M11)/'Cadastro de Insumos'!$L$84)*1000,(('Cadastro de Insumos'!$E$84*M11)*1000)))</f>
        <v/>
      </c>
    </row>
    <row r="12" spans="2:26">
      <c r="B12" s="252">
        <f>B11+0.01</f>
        <v>0.52</v>
      </c>
      <c r="C12" s="50"/>
      <c r="D12" s="50"/>
      <c r="E12" s="50"/>
      <c r="F12" s="63"/>
      <c r="G12" s="63"/>
      <c r="H12" s="63"/>
      <c r="I12" s="63"/>
      <c r="J12" s="63"/>
      <c r="K12" s="63"/>
      <c r="L12" s="63"/>
      <c r="M12" s="64" t="str">
        <f>IF(M13="","","+"&amp;ROUND(M13-M11,3))</f>
        <v>+0,083</v>
      </c>
      <c r="N12" s="65" t="str">
        <f>IF(N13="","","+"&amp;ROUND(N13-N11,3))</f>
        <v/>
      </c>
      <c r="O12" s="66" t="str">
        <f>IF(O13="","","+"&amp;ROUND(O13-O11,3))</f>
        <v/>
      </c>
      <c r="P12" s="64" t="str">
        <f t="shared" ref="P12:Z12" si="0">IF(P13="","","+"&amp;ROUND(P13-P11,3))</f>
        <v>+0,334</v>
      </c>
      <c r="Q12" s="65" t="str">
        <f t="shared" si="0"/>
        <v/>
      </c>
      <c r="R12" s="67" t="str">
        <f t="shared" si="0"/>
        <v/>
      </c>
      <c r="S12" s="64" t="str">
        <f t="shared" si="0"/>
        <v/>
      </c>
      <c r="T12" s="65" t="str">
        <f t="shared" si="0"/>
        <v/>
      </c>
      <c r="U12" s="65" t="str">
        <f t="shared" si="0"/>
        <v/>
      </c>
      <c r="V12" s="67" t="str">
        <f t="shared" si="0"/>
        <v/>
      </c>
      <c r="W12" s="64" t="str">
        <f t="shared" si="0"/>
        <v/>
      </c>
      <c r="X12" s="65" t="str">
        <f t="shared" si="0"/>
        <v/>
      </c>
      <c r="Y12" s="65" t="str">
        <f t="shared" si="0"/>
        <v/>
      </c>
      <c r="Z12" s="67" t="str">
        <f t="shared" si="0"/>
        <v/>
      </c>
    </row>
    <row r="13" spans="2:26" ht="16.5" thickBot="1">
      <c r="B13" s="253"/>
      <c r="C13" s="60">
        <f>1*'Cadastro de Insumos'!$P$6</f>
        <v>1</v>
      </c>
      <c r="D13" s="60">
        <f>1*'Cadastro de Insumos'!$P$10</f>
        <v>0</v>
      </c>
      <c r="E13" s="60">
        <f>1*'Cadastro de Insumos'!$P$14</f>
        <v>0</v>
      </c>
      <c r="F13" s="57">
        <f>(B12*(1+$B$6)-1)*'Cadastro de Insumos'!$P$20</f>
        <v>1.1199999999999999</v>
      </c>
      <c r="G13" s="57">
        <f>(B12*(1+$B$6)-1)*'Cadastro de Insumos'!$P$24</f>
        <v>0</v>
      </c>
      <c r="H13" s="57">
        <f>(B12*(1+$B$6)-1)*'Cadastro de Insumos'!$P$28</f>
        <v>0</v>
      </c>
      <c r="I13" s="57">
        <f>($B$6-(SUM(F13:H13)))*'Cadastro de Insumos'!$P$34</f>
        <v>1.728</v>
      </c>
      <c r="J13" s="57">
        <f>($B$6-(SUM(F13:H13)))*'Cadastro de Insumos'!$P$38</f>
        <v>1.1519999999999999</v>
      </c>
      <c r="K13" s="57">
        <f>($B$6-(SUM(F13:H13)))*'Cadastro de Insumos'!$P$42</f>
        <v>0</v>
      </c>
      <c r="L13" s="57">
        <f>($B$6-(SUM(F13:H13)))*'Cadastro de Insumos'!$P$46</f>
        <v>0</v>
      </c>
      <c r="M13" s="56">
        <f>IF(C13=0,"",('Escopo de Estudo'!$D$30/SUM('Ficha de Dosagem - B'!I13:L13))*C13)</f>
        <v>6.9444444444444446</v>
      </c>
      <c r="N13" s="57" t="str">
        <f>IF(N10="","",('Escopo de Estudo'!$D$30/SUM('Ficha de Dosagem - B'!I13:L13))*D13)</f>
        <v/>
      </c>
      <c r="O13" s="58" t="str">
        <f>IF(O10="","",('Escopo de Estudo'!$D$30/SUM('Ficha de Dosagem - B'!I13:L13))*E13)</f>
        <v/>
      </c>
      <c r="P13" s="56">
        <f t="shared" ref="P13:P31" si="1">IF(F13=0,"",SUM(M13:O13)*F13)</f>
        <v>7.7777777777777768</v>
      </c>
      <c r="Q13" s="72" t="str">
        <f>IF($Q$10="","",SUM(M13:O13)*G13)</f>
        <v/>
      </c>
      <c r="R13" s="55" t="str">
        <f>IF($R$10="","",SUM(M13:O13)*H13)</f>
        <v/>
      </c>
      <c r="S13" s="56" t="str">
        <f>IF('Cadastro de Insumos'!$O$52=FALSE,"",IF('Cadastro de Insumos'!$P$52=FALSE,(('Cadastro de Insumos'!$E$54*M13)/'Cadastro de Insumos'!$L$54)*1000,(('Cadastro de Insumos'!$E$54*M13)*1000)))</f>
        <v/>
      </c>
      <c r="T13" s="57" t="str">
        <f>IF('Cadastro de Insumos'!$O$56=FALSE,"",IF('Cadastro de Insumos'!$P$56=FALSE,(('Cadastro de Insumos'!$E$58*M13)/'Cadastro de Insumos'!$L$58)*1000,(('Cadastro de Insumos'!$E$58*M13)*1000)))</f>
        <v/>
      </c>
      <c r="U13" s="57" t="str">
        <f>IF('Cadastro de Insumos'!$O$60=FALSE,"",IF('Cadastro de Insumos'!$P$60=FALSE,(('Cadastro de Insumos'!$E$62*M13)/'Cadastro de Insumos'!$L$62)*1000,(('Cadastro de Insumos'!$E$62*M13)*1000)))</f>
        <v/>
      </c>
      <c r="V13" s="58" t="str">
        <f>IF('Cadastro de Insumos'!$O$64=FALSE,"",IF('Cadastro de Insumos'!$P$64=FALSE,(('Cadastro de Insumos'!$E$66*M13)/'Cadastro de Insumos'!$L$66)*1000,(('Cadastro de Insumos'!$E$66*M13)*1000)))</f>
        <v/>
      </c>
      <c r="W13" s="56" t="str">
        <f>IF('Cadastro de Insumos'!$O$70=FALSE,"",IF('Cadastro de Insumos'!$P$70=FALSE,(('Cadastro de Insumos'!$E$72*M13)/'Cadastro de Insumos'!$L$72)*1000,(('Cadastro de Insumos'!$E$72*M13)*1000)))</f>
        <v/>
      </c>
      <c r="X13" s="57" t="str">
        <f>IF('Cadastro de Insumos'!$O$74=FALSE,"",IF('Cadastro de Insumos'!$P$74=FALSE,(('Cadastro de Insumos'!$E$76*M13)/'Cadastro de Insumos'!$L$76)*1000,(('Cadastro de Insumos'!$E$76*M13)*1000)))</f>
        <v/>
      </c>
      <c r="Y13" s="57" t="str">
        <f>IF('Cadastro de Insumos'!$O$78=FALSE,"",IF('Cadastro de Insumos'!$P$78=FALSE,(('Cadastro de Insumos'!$E$80*M13)/'Cadastro de Insumos'!$L$80)*1000,(('Cadastro de Insumos'!$E$80*M13)*1000)))</f>
        <v/>
      </c>
      <c r="Z13" s="58" t="str">
        <f>IF('Cadastro de Insumos'!$O$82=FALSE,"",IF('Cadastro de Insumos'!$P$82=FALSE,(('Cadastro de Insumos'!$E$84*M13)/'Cadastro de Insumos'!$L$84)*1000,(('Cadastro de Insumos'!$E$84*M13)*1000)))</f>
        <v/>
      </c>
    </row>
    <row r="14" spans="2:26">
      <c r="B14" s="252">
        <f>B12+0.01</f>
        <v>0.53</v>
      </c>
      <c r="C14" s="50"/>
      <c r="D14" s="50"/>
      <c r="E14" s="50"/>
      <c r="F14" s="63"/>
      <c r="G14" s="63"/>
      <c r="H14" s="63"/>
      <c r="I14" s="63"/>
      <c r="J14" s="63"/>
      <c r="K14" s="63"/>
      <c r="L14" s="63"/>
      <c r="M14" s="64" t="str">
        <f>IF(M15="","","+"&amp;ROUND(M15-M13,3))</f>
        <v>+0,085</v>
      </c>
      <c r="N14" s="65" t="str">
        <f>IF(N15="","","+"&amp;ROUND(N15-N13,3))</f>
        <v/>
      </c>
      <c r="O14" s="66" t="str">
        <f>IF(O15="","","+"&amp;ROUND(O15-O13,3))</f>
        <v/>
      </c>
      <c r="P14" s="64" t="str">
        <f t="shared" ref="P14:Z14" si="2">IF(P15="","","+"&amp;ROUND(P15-P13,3))</f>
        <v>+0,342</v>
      </c>
      <c r="Q14" s="65" t="str">
        <f t="shared" si="2"/>
        <v/>
      </c>
      <c r="R14" s="67" t="str">
        <f t="shared" si="2"/>
        <v/>
      </c>
      <c r="S14" s="64" t="str">
        <f t="shared" si="2"/>
        <v/>
      </c>
      <c r="T14" s="65" t="str">
        <f t="shared" si="2"/>
        <v/>
      </c>
      <c r="U14" s="65" t="str">
        <f t="shared" si="2"/>
        <v/>
      </c>
      <c r="V14" s="67" t="str">
        <f t="shared" si="2"/>
        <v/>
      </c>
      <c r="W14" s="64" t="str">
        <f t="shared" si="2"/>
        <v/>
      </c>
      <c r="X14" s="65" t="str">
        <f t="shared" si="2"/>
        <v/>
      </c>
      <c r="Y14" s="65" t="str">
        <f t="shared" si="2"/>
        <v/>
      </c>
      <c r="Z14" s="67" t="str">
        <f t="shared" si="2"/>
        <v/>
      </c>
    </row>
    <row r="15" spans="2:26" ht="16.5" thickBot="1">
      <c r="B15" s="253"/>
      <c r="C15" s="60">
        <f>1*'Cadastro de Insumos'!$P$6</f>
        <v>1</v>
      </c>
      <c r="D15" s="60">
        <f>1*'Cadastro de Insumos'!$P$10</f>
        <v>0</v>
      </c>
      <c r="E15" s="60">
        <f>1*'Cadastro de Insumos'!$P$14</f>
        <v>0</v>
      </c>
      <c r="F15" s="57">
        <f>(B14*(1+$B$6)-1)*'Cadastro de Insumos'!$P$20</f>
        <v>1.1550000000000002</v>
      </c>
      <c r="G15" s="57">
        <f>(B14*(1+$B$6)-1)*'Cadastro de Insumos'!$P$24</f>
        <v>0</v>
      </c>
      <c r="H15" s="57">
        <f>(B14*(1+$B$6)-1)*'Cadastro de Insumos'!$P$28</f>
        <v>0</v>
      </c>
      <c r="I15" s="57">
        <f>($B$6-(SUM(F15:H15)))*'Cadastro de Insumos'!$P$34</f>
        <v>1.7069999999999999</v>
      </c>
      <c r="J15" s="57">
        <f>($B$6-(SUM(F15:H15)))*'Cadastro de Insumos'!$P$38</f>
        <v>1.1379999999999999</v>
      </c>
      <c r="K15" s="57">
        <f>($B$6-(SUM(F15:H15)))*'Cadastro de Insumos'!$P$42</f>
        <v>0</v>
      </c>
      <c r="L15" s="57">
        <f>($B$6-(SUM(F15:H15)))*'Cadastro de Insumos'!$P$46</f>
        <v>0</v>
      </c>
      <c r="M15" s="56">
        <f>IF(C15=0,"",('Escopo de Estudo'!$D$30/SUM('Ficha de Dosagem - B'!I15:L15))*C15)</f>
        <v>7.0298769771529006</v>
      </c>
      <c r="N15" s="57" t="str">
        <f>IF(N11="","",('Escopo de Estudo'!$D$30/SUM('Ficha de Dosagem - B'!I15:L15))*D15)</f>
        <v/>
      </c>
      <c r="O15" s="58" t="str">
        <f>IF(O10="","",('Escopo de Estudo'!$D$30/SUM('Ficha de Dosagem - B'!I15:L15))*E15)</f>
        <v/>
      </c>
      <c r="P15" s="56">
        <f t="shared" si="1"/>
        <v>8.1195079086116024</v>
      </c>
      <c r="Q15" s="72" t="str">
        <f>IF($Q$10="","",SUM(M15:O15)*G15)</f>
        <v/>
      </c>
      <c r="R15" s="55" t="str">
        <f>IF($R$10="","",SUM(M15:O15)*H15)</f>
        <v/>
      </c>
      <c r="S15" s="56" t="str">
        <f>IF('Cadastro de Insumos'!$O$52=FALSE,"",IF('Cadastro de Insumos'!$P$52=FALSE,(('Cadastro de Insumos'!$E$54*M15)/'Cadastro de Insumos'!$L$54)*1000,(('Cadastro de Insumos'!$E$54*M15)*1000)))</f>
        <v/>
      </c>
      <c r="T15" s="57" t="str">
        <f>IF('Cadastro de Insumos'!$O$56=FALSE,"",IF('Cadastro de Insumos'!$P$56=FALSE,(('Cadastro de Insumos'!$E$58*M15)/'Cadastro de Insumos'!$L$58)*1000,(('Cadastro de Insumos'!$E$58*M15)*1000)))</f>
        <v/>
      </c>
      <c r="U15" s="57" t="str">
        <f>IF('Cadastro de Insumos'!$O$60=FALSE,"",IF('Cadastro de Insumos'!$P$60=FALSE,(('Cadastro de Insumos'!$E$62*M15)/'Cadastro de Insumos'!$L$62)*1000,(('Cadastro de Insumos'!$E$62*M15)*1000)))</f>
        <v/>
      </c>
      <c r="V15" s="58" t="str">
        <f>IF('Cadastro de Insumos'!$O$64=FALSE,"",IF('Cadastro de Insumos'!$P$64=FALSE,(('Cadastro de Insumos'!$E$66*M15)/'Cadastro de Insumos'!$L$66)*1000,(('Cadastro de Insumos'!$E$66*M15)*1000)))</f>
        <v/>
      </c>
      <c r="W15" s="56" t="str">
        <f>IF('Cadastro de Insumos'!$O$70=FALSE,"",IF('Cadastro de Insumos'!$P$70=FALSE,(('Cadastro de Insumos'!$E$72*M15)/'Cadastro de Insumos'!$L$72)*1000,(('Cadastro de Insumos'!$E$72*M15)*1000)))</f>
        <v/>
      </c>
      <c r="X15" s="57" t="str">
        <f>IF('Cadastro de Insumos'!$O$74=FALSE,"",IF('Cadastro de Insumos'!$P$74=FALSE,(('Cadastro de Insumos'!$E$76*M15)/'Cadastro de Insumos'!$L$76)*1000,(('Cadastro de Insumos'!$E$76*M15)*1000)))</f>
        <v/>
      </c>
      <c r="Y15" s="57" t="str">
        <f>IF('Cadastro de Insumos'!$O$78=FALSE,"",IF('Cadastro de Insumos'!$P$78=FALSE,(('Cadastro de Insumos'!$E$80*M15)/'Cadastro de Insumos'!$L$80)*1000,(('Cadastro de Insumos'!$E$80*M15)*1000)))</f>
        <v/>
      </c>
      <c r="Z15" s="58" t="str">
        <f>IF('Cadastro de Insumos'!$O$82=FALSE,"",IF('Cadastro de Insumos'!$P$82=FALSE,(('Cadastro de Insumos'!$E$84*M15)/'Cadastro de Insumos'!$L$84)*1000,(('Cadastro de Insumos'!$E$84*M15)*1000)))</f>
        <v/>
      </c>
    </row>
    <row r="16" spans="2:26">
      <c r="B16" s="252">
        <f>B14+0.01</f>
        <v>0.54</v>
      </c>
      <c r="C16" s="50"/>
      <c r="D16" s="50"/>
      <c r="E16" s="50"/>
      <c r="F16" s="63"/>
      <c r="G16" s="63"/>
      <c r="H16" s="63"/>
      <c r="I16" s="63"/>
      <c r="J16" s="63"/>
      <c r="K16" s="63"/>
      <c r="L16" s="63"/>
      <c r="M16" s="64" t="str">
        <f>IF(M17="","","+"&amp;ROUND(M17-M15,3))</f>
        <v>+0,088</v>
      </c>
      <c r="N16" s="65" t="str">
        <f>IF(N17="","","+"&amp;ROUND(N17-N15,3))</f>
        <v/>
      </c>
      <c r="O16" s="66" t="str">
        <f>IF(O17="","","+"&amp;ROUND(O17-O15,3))</f>
        <v/>
      </c>
      <c r="P16" s="64" t="str">
        <f t="shared" ref="P16:Z16" si="3">IF(P17="","","+"&amp;ROUND(P17-P15,3))</f>
        <v>+0,35</v>
      </c>
      <c r="Q16" s="65" t="str">
        <f t="shared" si="3"/>
        <v/>
      </c>
      <c r="R16" s="67" t="str">
        <f t="shared" si="3"/>
        <v/>
      </c>
      <c r="S16" s="64" t="str">
        <f t="shared" si="3"/>
        <v/>
      </c>
      <c r="T16" s="65" t="str">
        <f t="shared" si="3"/>
        <v/>
      </c>
      <c r="U16" s="65" t="str">
        <f t="shared" si="3"/>
        <v/>
      </c>
      <c r="V16" s="67" t="str">
        <f t="shared" si="3"/>
        <v/>
      </c>
      <c r="W16" s="64" t="str">
        <f t="shared" si="3"/>
        <v/>
      </c>
      <c r="X16" s="65" t="str">
        <f t="shared" si="3"/>
        <v/>
      </c>
      <c r="Y16" s="65" t="str">
        <f t="shared" si="3"/>
        <v/>
      </c>
      <c r="Z16" s="67" t="str">
        <f t="shared" si="3"/>
        <v/>
      </c>
    </row>
    <row r="17" spans="2:26" ht="16.5" thickBot="1">
      <c r="B17" s="253"/>
      <c r="C17" s="60">
        <f>1*'Cadastro de Insumos'!$P$6</f>
        <v>1</v>
      </c>
      <c r="D17" s="60">
        <f>1*'Cadastro de Insumos'!$P$10</f>
        <v>0</v>
      </c>
      <c r="E17" s="60">
        <f>1*'Cadastro de Insumos'!$P$14</f>
        <v>0</v>
      </c>
      <c r="F17" s="57">
        <f>(B16*(1+$B$6)-1)*'Cadastro de Insumos'!$P$20</f>
        <v>1.19</v>
      </c>
      <c r="G17" s="57">
        <f>(B16*(1+$B$6)-1)*'Cadastro de Insumos'!$P$24</f>
        <v>0</v>
      </c>
      <c r="H17" s="57">
        <f>(B16*(1+$B$6)-1)*'Cadastro de Insumos'!$P$28</f>
        <v>0</v>
      </c>
      <c r="I17" s="57">
        <f>($B$6-(SUM(F17:H17)))*'Cadastro de Insumos'!$P$34</f>
        <v>1.6859999999999999</v>
      </c>
      <c r="J17" s="57">
        <f>($B$6-(SUM(F17:H17)))*'Cadastro de Insumos'!$P$38</f>
        <v>1.1240000000000001</v>
      </c>
      <c r="K17" s="57">
        <f>($B$6-(SUM(F17:H17)))*'Cadastro de Insumos'!$P$42</f>
        <v>0</v>
      </c>
      <c r="L17" s="57">
        <f>($B$6-(SUM(F17:H17)))*'Cadastro de Insumos'!$P$46</f>
        <v>0</v>
      </c>
      <c r="M17" s="56">
        <f>IF(C17=0,"",('Escopo de Estudo'!$D$30/SUM('Ficha de Dosagem - B'!I17:L17))*C17)</f>
        <v>7.117437722419929</v>
      </c>
      <c r="N17" s="57" t="str">
        <f>IF(N10="","",('Escopo de Estudo'!$D$30/SUM('Ficha de Dosagem - B'!I17:L17))*D17)</f>
        <v/>
      </c>
      <c r="O17" s="58" t="str">
        <f>IF(O10="","",('Escopo de Estudo'!$D$30/SUM('Ficha de Dosagem - B'!I17:L17))*E17)</f>
        <v/>
      </c>
      <c r="P17" s="56">
        <f t="shared" si="1"/>
        <v>8.469750889679716</v>
      </c>
      <c r="Q17" s="72" t="str">
        <f>IF($Q$10="","",SUM(M17:O17)*G17)</f>
        <v/>
      </c>
      <c r="R17" s="55" t="str">
        <f>IF($R$10="","",SUM(M17:O17)*H17)</f>
        <v/>
      </c>
      <c r="S17" s="56" t="str">
        <f>IF('Cadastro de Insumos'!$O$52=FALSE,"",IF('Cadastro de Insumos'!$P$52=FALSE,(('Cadastro de Insumos'!$E$54*M17)/'Cadastro de Insumos'!$L$54)*1000,(('Cadastro de Insumos'!$E$54*M17)*1000)))</f>
        <v/>
      </c>
      <c r="T17" s="57" t="str">
        <f>IF('Cadastro de Insumos'!$O$56=FALSE,"",IF('Cadastro de Insumos'!$P$56=FALSE,(('Cadastro de Insumos'!$E$58*M17)/'Cadastro de Insumos'!$L$58)*1000,(('Cadastro de Insumos'!$E$58*M17)*1000)))</f>
        <v/>
      </c>
      <c r="U17" s="57" t="str">
        <f>IF('Cadastro de Insumos'!$O$60=FALSE,"",IF('Cadastro de Insumos'!$P$60=FALSE,(('Cadastro de Insumos'!$E$62*M17)/'Cadastro de Insumos'!$L$62)*1000,(('Cadastro de Insumos'!$E$62*M17)*1000)))</f>
        <v/>
      </c>
      <c r="V17" s="58" t="str">
        <f>IF('Cadastro de Insumos'!$O$64=FALSE,"",IF('Cadastro de Insumos'!$P$64=FALSE,(('Cadastro de Insumos'!$E$66*M17)/'Cadastro de Insumos'!$L$66)*1000,(('Cadastro de Insumos'!$E$66*M17)*1000)))</f>
        <v/>
      </c>
      <c r="W17" s="56" t="str">
        <f>IF('Cadastro de Insumos'!$O$70=FALSE,"",IF('Cadastro de Insumos'!$P$70=FALSE,(('Cadastro de Insumos'!$E$72*M17)/'Cadastro de Insumos'!$L$72)*1000,(('Cadastro de Insumos'!$E$72*M17)*1000)))</f>
        <v/>
      </c>
      <c r="X17" s="57" t="str">
        <f>IF('Cadastro de Insumos'!$O$74=FALSE,"",IF('Cadastro de Insumos'!$P$74=FALSE,(('Cadastro de Insumos'!$E$76*M17)/'Cadastro de Insumos'!$L$76)*1000,(('Cadastro de Insumos'!$E$76*M17)*1000)))</f>
        <v/>
      </c>
      <c r="Y17" s="57" t="str">
        <f>IF('Cadastro de Insumos'!$O$78=FALSE,"",IF('Cadastro de Insumos'!$P$78=FALSE,(('Cadastro de Insumos'!$E$80*M17)/'Cadastro de Insumos'!$L$80)*1000,(('Cadastro de Insumos'!$E$80*M17)*1000)))</f>
        <v/>
      </c>
      <c r="Z17" s="58" t="str">
        <f>IF('Cadastro de Insumos'!$O$82=FALSE,"",IF('Cadastro de Insumos'!$P$82=FALSE,(('Cadastro de Insumos'!$E$84*M17)/'Cadastro de Insumos'!$L$84)*1000,(('Cadastro de Insumos'!$E$84*M17)*1000)))</f>
        <v/>
      </c>
    </row>
    <row r="18" spans="2:26">
      <c r="B18" s="252">
        <f>B16+0.01</f>
        <v>0.55000000000000004</v>
      </c>
      <c r="C18" s="50"/>
      <c r="D18" s="50"/>
      <c r="E18" s="50"/>
      <c r="F18" s="63"/>
      <c r="G18" s="63"/>
      <c r="H18" s="63"/>
      <c r="I18" s="63"/>
      <c r="J18" s="63"/>
      <c r="K18" s="63"/>
      <c r="L18" s="63"/>
      <c r="M18" s="64" t="str">
        <f>IF(M19="","","+"&amp;ROUND(M19-M17,3))</f>
        <v>+0,09</v>
      </c>
      <c r="N18" s="65" t="str">
        <f>IF(N19="","","+"&amp;ROUND(N19-N17,3))</f>
        <v/>
      </c>
      <c r="O18" s="66" t="str">
        <f>IF(O19="","","+"&amp;ROUND(O19-O17,3))</f>
        <v/>
      </c>
      <c r="P18" s="64" t="str">
        <f t="shared" ref="P18:Z18" si="4">IF(P19="","","+"&amp;ROUND(P19-P17,3))</f>
        <v>+0,359</v>
      </c>
      <c r="Q18" s="65" t="str">
        <f t="shared" si="4"/>
        <v/>
      </c>
      <c r="R18" s="67" t="str">
        <f t="shared" si="4"/>
        <v/>
      </c>
      <c r="S18" s="64" t="str">
        <f t="shared" si="4"/>
        <v/>
      </c>
      <c r="T18" s="65" t="str">
        <f t="shared" si="4"/>
        <v/>
      </c>
      <c r="U18" s="65" t="str">
        <f t="shared" si="4"/>
        <v/>
      </c>
      <c r="V18" s="67" t="str">
        <f t="shared" si="4"/>
        <v/>
      </c>
      <c r="W18" s="64" t="str">
        <f t="shared" si="4"/>
        <v/>
      </c>
      <c r="X18" s="65" t="str">
        <f t="shared" si="4"/>
        <v/>
      </c>
      <c r="Y18" s="65" t="str">
        <f t="shared" si="4"/>
        <v/>
      </c>
      <c r="Z18" s="67" t="str">
        <f t="shared" si="4"/>
        <v/>
      </c>
    </row>
    <row r="19" spans="2:26" ht="16.5" thickBot="1">
      <c r="B19" s="253"/>
      <c r="C19" s="60">
        <f>1*'Cadastro de Insumos'!$P$6</f>
        <v>1</v>
      </c>
      <c r="D19" s="60">
        <f>1*'Cadastro de Insumos'!$P$10</f>
        <v>0</v>
      </c>
      <c r="E19" s="60">
        <f>1*'Cadastro de Insumos'!$P$14</f>
        <v>0</v>
      </c>
      <c r="F19" s="57">
        <f>(B18*(1+$B$6)-1)*'Cadastro de Insumos'!$P$20</f>
        <v>1.2249999999999999</v>
      </c>
      <c r="G19" s="57">
        <f>(B18*(1+$B$6)-1)*'Cadastro de Insumos'!$P$24</f>
        <v>0</v>
      </c>
      <c r="H19" s="57">
        <f>(B18*(1+$B$6)-1)*'Cadastro de Insumos'!$P$28</f>
        <v>0</v>
      </c>
      <c r="I19" s="57">
        <f>($B$6-(SUM(F19:H19)))*'Cadastro de Insumos'!$P$34</f>
        <v>1.6650000000000003</v>
      </c>
      <c r="J19" s="57">
        <f>($B$6-(SUM(F19:H19)))*'Cadastro de Insumos'!$P$38</f>
        <v>1.1100000000000001</v>
      </c>
      <c r="K19" s="57">
        <f>($B$6-(SUM(F19:H19)))*'Cadastro de Insumos'!$P$42</f>
        <v>0</v>
      </c>
      <c r="L19" s="57">
        <f>($B$6-(SUM(F19:H19)))*'Cadastro de Insumos'!$P$46</f>
        <v>0</v>
      </c>
      <c r="M19" s="56">
        <f>IF(C19=0,"",('Escopo de Estudo'!$D$30/SUM('Ficha de Dosagem - B'!I19:L19))*C19)</f>
        <v>7.2072072072072064</v>
      </c>
      <c r="N19" s="57" t="str">
        <f>IF(N10="","",('Escopo de Estudo'!$D$30/SUM('Ficha de Dosagem - B'!I19:L19))*D19)</f>
        <v/>
      </c>
      <c r="O19" s="58" t="str">
        <f>IF(O10="","",('Escopo de Estudo'!$D$30/SUM('Ficha de Dosagem - B'!I19:L19))*E19)</f>
        <v/>
      </c>
      <c r="P19" s="56">
        <f t="shared" si="1"/>
        <v>8.8288288288288275</v>
      </c>
      <c r="Q19" s="72" t="str">
        <f>IF($Q$10="","",SUM(M19:O19)*G19)</f>
        <v/>
      </c>
      <c r="R19" s="55" t="str">
        <f>IF($R$10="","",SUM(M19:O19)*H19)</f>
        <v/>
      </c>
      <c r="S19" s="56" t="str">
        <f>IF('Cadastro de Insumos'!$O$52=FALSE,"",IF('Cadastro de Insumos'!$P$52=FALSE,(('Cadastro de Insumos'!$E$54*M19)/'Cadastro de Insumos'!$L$54)*1000,(('Cadastro de Insumos'!$E$54*M19)*1000)))</f>
        <v/>
      </c>
      <c r="T19" s="57" t="str">
        <f>IF('Cadastro de Insumos'!$O$56=FALSE,"",IF('Cadastro de Insumos'!$P$56=FALSE,(('Cadastro de Insumos'!$E$58*M19)/'Cadastro de Insumos'!$L$58)*1000,(('Cadastro de Insumos'!$E$58*M19)*1000)))</f>
        <v/>
      </c>
      <c r="U19" s="57" t="str">
        <f>IF('Cadastro de Insumos'!$O$60=FALSE,"",IF('Cadastro de Insumos'!$P$60=FALSE,(('Cadastro de Insumos'!$E$62*M19)/'Cadastro de Insumos'!$L$62)*1000,(('Cadastro de Insumos'!$E$62*M19)*1000)))</f>
        <v/>
      </c>
      <c r="V19" s="58" t="str">
        <f>IF('Cadastro de Insumos'!$O$64=FALSE,"",IF('Cadastro de Insumos'!$P$64=FALSE,(('Cadastro de Insumos'!$E$66*M19)/'Cadastro de Insumos'!$L$66)*1000,(('Cadastro de Insumos'!$E$66*M19)*1000)))</f>
        <v/>
      </c>
      <c r="W19" s="56" t="str">
        <f>IF('Cadastro de Insumos'!$O$70=FALSE,"",IF('Cadastro de Insumos'!$P$70=FALSE,(('Cadastro de Insumos'!$E$72*M19)/'Cadastro de Insumos'!$L$72)*1000,(('Cadastro de Insumos'!$E$72*M19)*1000)))</f>
        <v/>
      </c>
      <c r="X19" s="57" t="str">
        <f>IF('Cadastro de Insumos'!$O$74=FALSE,"",IF('Cadastro de Insumos'!$P$74=FALSE,(('Cadastro de Insumos'!$E$76*M19)/'Cadastro de Insumos'!$L$76)*1000,(('Cadastro de Insumos'!$E$76*M19)*1000)))</f>
        <v/>
      </c>
      <c r="Y19" s="57" t="str">
        <f>IF('Cadastro de Insumos'!$O$78=FALSE,"",IF('Cadastro de Insumos'!$P$78=FALSE,(('Cadastro de Insumos'!$E$80*M19)/'Cadastro de Insumos'!$L$80)*1000,(('Cadastro de Insumos'!$E$80*M19)*1000)))</f>
        <v/>
      </c>
      <c r="Z19" s="58" t="str">
        <f>IF('Cadastro de Insumos'!$O$82=FALSE,"",IF('Cadastro de Insumos'!$P$82=FALSE,(('Cadastro de Insumos'!$E$84*M19)/'Cadastro de Insumos'!$L$84)*1000,(('Cadastro de Insumos'!$E$84*M19)*1000)))</f>
        <v/>
      </c>
    </row>
    <row r="20" spans="2:26">
      <c r="B20" s="252">
        <f>B18+0.01</f>
        <v>0.56000000000000005</v>
      </c>
      <c r="C20" s="50"/>
      <c r="D20" s="50"/>
      <c r="E20" s="50"/>
      <c r="F20" s="63"/>
      <c r="G20" s="63"/>
      <c r="H20" s="63"/>
      <c r="I20" s="63"/>
      <c r="J20" s="63"/>
      <c r="K20" s="63"/>
      <c r="L20" s="63"/>
      <c r="M20" s="64" t="str">
        <f>IF(M21="","","+"&amp;ROUND(M21-M19,3))</f>
        <v>+0,092</v>
      </c>
      <c r="N20" s="65" t="str">
        <f>IF(N21="","","+"&amp;ROUND(N21-N19,3))</f>
        <v/>
      </c>
      <c r="O20" s="66" t="str">
        <f>IF(O21="","","+"&amp;ROUND(O21-O19,3))</f>
        <v/>
      </c>
      <c r="P20" s="64" t="str">
        <f t="shared" ref="P20:Z20" si="5">IF(P21="","","+"&amp;ROUND(P21-P19,3))</f>
        <v>+0,368</v>
      </c>
      <c r="Q20" s="65" t="str">
        <f t="shared" si="5"/>
        <v/>
      </c>
      <c r="R20" s="67" t="str">
        <f t="shared" si="5"/>
        <v/>
      </c>
      <c r="S20" s="64" t="str">
        <f t="shared" si="5"/>
        <v/>
      </c>
      <c r="T20" s="65" t="str">
        <f t="shared" si="5"/>
        <v/>
      </c>
      <c r="U20" s="65" t="str">
        <f t="shared" si="5"/>
        <v/>
      </c>
      <c r="V20" s="67" t="str">
        <f t="shared" si="5"/>
        <v/>
      </c>
      <c r="W20" s="64" t="str">
        <f t="shared" si="5"/>
        <v/>
      </c>
      <c r="X20" s="65" t="str">
        <f t="shared" si="5"/>
        <v/>
      </c>
      <c r="Y20" s="65" t="str">
        <f t="shared" si="5"/>
        <v/>
      </c>
      <c r="Z20" s="67" t="str">
        <f t="shared" si="5"/>
        <v/>
      </c>
    </row>
    <row r="21" spans="2:26" ht="16.5" thickBot="1">
      <c r="B21" s="253"/>
      <c r="C21" s="60">
        <f>1*'Cadastro de Insumos'!$P$6</f>
        <v>1</v>
      </c>
      <c r="D21" s="60">
        <f>1*'Cadastro de Insumos'!$P$10</f>
        <v>0</v>
      </c>
      <c r="E21" s="60">
        <f>1*'Cadastro de Insumos'!$P$14</f>
        <v>0</v>
      </c>
      <c r="F21" s="57">
        <f>(B20*(1+$B$6)-1)*'Cadastro de Insumos'!$P$20</f>
        <v>1.26</v>
      </c>
      <c r="G21" s="57">
        <f>(B20*(1+$B$6)-1)*'Cadastro de Insumos'!$P$24</f>
        <v>0</v>
      </c>
      <c r="H21" s="57">
        <f>(B20*(1+$B$6)-1)*'Cadastro de Insumos'!$P$28</f>
        <v>0</v>
      </c>
      <c r="I21" s="57">
        <f>($B$6-(SUM(F21:H21)))*'Cadastro de Insumos'!$P$34</f>
        <v>1.6440000000000001</v>
      </c>
      <c r="J21" s="57">
        <f>($B$6-(SUM(F21:H21)))*'Cadastro de Insumos'!$P$38</f>
        <v>1.0960000000000001</v>
      </c>
      <c r="K21" s="57">
        <f>($B$6-(SUM(F21:H21)))*'Cadastro de Insumos'!$P$42</f>
        <v>0</v>
      </c>
      <c r="L21" s="57">
        <f>($B$6-(SUM(F21:H21)))*'Cadastro de Insumos'!$P$46</f>
        <v>0</v>
      </c>
      <c r="M21" s="56">
        <f>IF(C21=0,"",('Escopo de Estudo'!$D$30/SUM('Ficha de Dosagem - B'!I21:L21))*C21)</f>
        <v>7.2992700729926998</v>
      </c>
      <c r="N21" s="57" t="str">
        <f>IF(N10="","",('Escopo de Estudo'!$D$30/SUM('Ficha de Dosagem - B'!I21:L21))*D21)</f>
        <v/>
      </c>
      <c r="O21" s="58" t="str">
        <f>IF(O10="","",('Escopo de Estudo'!$D$30/SUM('Ficha de Dosagem - B'!I21:L21))*E21)</f>
        <v/>
      </c>
      <c r="P21" s="56">
        <f t="shared" si="1"/>
        <v>9.197080291970801</v>
      </c>
      <c r="Q21" s="72" t="str">
        <f>IF($Q$10="","",SUM(M21:O21)*G21)</f>
        <v/>
      </c>
      <c r="R21" s="55" t="str">
        <f>IF($R$10="","",SUM(M21:O21)*H21)</f>
        <v/>
      </c>
      <c r="S21" s="56" t="str">
        <f>IF('Cadastro de Insumos'!$O$52=FALSE,"",IF('Cadastro de Insumos'!$P$52=FALSE,(('Cadastro de Insumos'!$E$54*M21)/'Cadastro de Insumos'!$L$54)*1000,(('Cadastro de Insumos'!$E$54*M21)*1000)))</f>
        <v/>
      </c>
      <c r="T21" s="57" t="str">
        <f>IF('Cadastro de Insumos'!$O$56=FALSE,"",IF('Cadastro de Insumos'!$P$56=FALSE,(('Cadastro de Insumos'!$E$58*M21)/'Cadastro de Insumos'!$L$58)*1000,(('Cadastro de Insumos'!$E$58*M21)*1000)))</f>
        <v/>
      </c>
      <c r="U21" s="57" t="str">
        <f>IF('Cadastro de Insumos'!$O$60=FALSE,"",IF('Cadastro de Insumos'!$P$60=FALSE,(('Cadastro de Insumos'!$E$62*M21)/'Cadastro de Insumos'!$L$62)*1000,(('Cadastro de Insumos'!$E$62*M21)*1000)))</f>
        <v/>
      </c>
      <c r="V21" s="58" t="str">
        <f>IF('Cadastro de Insumos'!$O$64=FALSE,"",IF('Cadastro de Insumos'!$P$64=FALSE,(('Cadastro de Insumos'!$E$66*M21)/'Cadastro de Insumos'!$L$66)*1000,(('Cadastro de Insumos'!$E$66*M21)*1000)))</f>
        <v/>
      </c>
      <c r="W21" s="56" t="str">
        <f>IF('Cadastro de Insumos'!$O$70=FALSE,"",IF('Cadastro de Insumos'!$P$70=FALSE,(('Cadastro de Insumos'!$E$72*M21)/'Cadastro de Insumos'!$L$72)*1000,(('Cadastro de Insumos'!$E$72*M21)*1000)))</f>
        <v/>
      </c>
      <c r="X21" s="57" t="str">
        <f>IF('Cadastro de Insumos'!$O$74=FALSE,"",IF('Cadastro de Insumos'!$P$74=FALSE,(('Cadastro de Insumos'!$E$76*M21)/'Cadastro de Insumos'!$L$76)*1000,(('Cadastro de Insumos'!$E$76*M21)*1000)))</f>
        <v/>
      </c>
      <c r="Y21" s="57" t="str">
        <f>IF('Cadastro de Insumos'!$O$78=FALSE,"",IF('Cadastro de Insumos'!$P$78=FALSE,(('Cadastro de Insumos'!$E$80*M21)/'Cadastro de Insumos'!$L$80)*1000,(('Cadastro de Insumos'!$E$80*M21)*1000)))</f>
        <v/>
      </c>
      <c r="Z21" s="58" t="str">
        <f>IF('Cadastro de Insumos'!$O$82=FALSE,"",IF('Cadastro de Insumos'!$P$82=FALSE,(('Cadastro de Insumos'!$E$84*M21)/'Cadastro de Insumos'!$L$84)*1000,(('Cadastro de Insumos'!$E$84*M21)*1000)))</f>
        <v/>
      </c>
    </row>
    <row r="22" spans="2:26">
      <c r="B22" s="252">
        <f>B20+0.01</f>
        <v>0.57000000000000006</v>
      </c>
      <c r="C22" s="50"/>
      <c r="D22" s="50"/>
      <c r="E22" s="50"/>
      <c r="F22" s="63"/>
      <c r="G22" s="63"/>
      <c r="H22" s="63"/>
      <c r="I22" s="63"/>
      <c r="J22" s="63"/>
      <c r="K22" s="63"/>
      <c r="L22" s="63"/>
      <c r="M22" s="64" t="str">
        <f>IF(M23="","","+"&amp;ROUND(M23-M21,3))</f>
        <v>+0,094</v>
      </c>
      <c r="N22" s="65" t="str">
        <f>IF(N23="","","+"&amp;ROUND(N23-N21,3))</f>
        <v/>
      </c>
      <c r="O22" s="66" t="str">
        <f>IF(O23="","","+"&amp;ROUND(O23-O21,3))</f>
        <v/>
      </c>
      <c r="P22" s="64" t="str">
        <f t="shared" ref="P22:Z22" si="6">IF(P23="","","+"&amp;ROUND(P23-P21,3))</f>
        <v>+0,378</v>
      </c>
      <c r="Q22" s="65" t="str">
        <f t="shared" si="6"/>
        <v/>
      </c>
      <c r="R22" s="67" t="str">
        <f t="shared" si="6"/>
        <v/>
      </c>
      <c r="S22" s="64" t="str">
        <f t="shared" si="6"/>
        <v/>
      </c>
      <c r="T22" s="65" t="str">
        <f t="shared" si="6"/>
        <v/>
      </c>
      <c r="U22" s="65" t="str">
        <f t="shared" si="6"/>
        <v/>
      </c>
      <c r="V22" s="67" t="str">
        <f t="shared" si="6"/>
        <v/>
      </c>
      <c r="W22" s="64" t="str">
        <f t="shared" si="6"/>
        <v/>
      </c>
      <c r="X22" s="65" t="str">
        <f t="shared" si="6"/>
        <v/>
      </c>
      <c r="Y22" s="65" t="str">
        <f t="shared" si="6"/>
        <v/>
      </c>
      <c r="Z22" s="67" t="str">
        <f t="shared" si="6"/>
        <v/>
      </c>
    </row>
    <row r="23" spans="2:26" ht="16.5" thickBot="1">
      <c r="B23" s="253"/>
      <c r="C23" s="60">
        <f>1*'Cadastro de Insumos'!$P$6</f>
        <v>1</v>
      </c>
      <c r="D23" s="60">
        <f>1*'Cadastro de Insumos'!$P$10</f>
        <v>0</v>
      </c>
      <c r="E23" s="60">
        <f>1*'Cadastro de Insumos'!$P$14</f>
        <v>0</v>
      </c>
      <c r="F23" s="57">
        <f>(B22*(1+$B$6)-1)*'Cadastro de Insumos'!$P$20</f>
        <v>1.2950000000000004</v>
      </c>
      <c r="G23" s="57">
        <f>(B22*(1+$B$6)-1)*'Cadastro de Insumos'!$P$24</f>
        <v>0</v>
      </c>
      <c r="H23" s="57">
        <f>(B22*(1+$B$6)-1)*'Cadastro de Insumos'!$P$28</f>
        <v>0</v>
      </c>
      <c r="I23" s="57">
        <f>($B$6-(SUM(F23:H23)))*'Cadastro de Insumos'!$P$34</f>
        <v>1.6229999999999998</v>
      </c>
      <c r="J23" s="57">
        <f>($B$6-(SUM(F23:H23)))*'Cadastro de Insumos'!$P$38</f>
        <v>1.0819999999999999</v>
      </c>
      <c r="K23" s="57">
        <f>($B$6-(SUM(F23:H23)))*'Cadastro de Insumos'!$P$42</f>
        <v>0</v>
      </c>
      <c r="L23" s="57">
        <f>($B$6-(SUM(F23:H23)))*'Cadastro de Insumos'!$P$46</f>
        <v>0</v>
      </c>
      <c r="M23" s="56">
        <f>IF(C23=0,"",('Escopo de Estudo'!$D$30/SUM('Ficha de Dosagem - B'!I23:L23))*C23)</f>
        <v>7.3937153419593358</v>
      </c>
      <c r="N23" s="57" t="str">
        <f>IF(N10="","",('Escopo de Estudo'!$D$30/SUM('Ficha de Dosagem - B'!I23:L23))*D23)</f>
        <v/>
      </c>
      <c r="O23" s="58" t="str">
        <f>IF(O10="","",('Escopo de Estudo'!$D$30/SUM('Ficha de Dosagem - B'!I23:L23))*E23)</f>
        <v/>
      </c>
      <c r="P23" s="56">
        <f t="shared" si="1"/>
        <v>9.5748613678373431</v>
      </c>
      <c r="Q23" s="72" t="str">
        <f>IF($Q$10="","",SUM(M23:O23)*G23)</f>
        <v/>
      </c>
      <c r="R23" s="55" t="str">
        <f>IF($R$10="","",SUM(M23:O23)*H23)</f>
        <v/>
      </c>
      <c r="S23" s="56" t="str">
        <f>IF('Cadastro de Insumos'!$O$52=FALSE,"",IF('Cadastro de Insumos'!$P$52=FALSE,(('Cadastro de Insumos'!$E$54*M23)/'Cadastro de Insumos'!$L$54)*1000,(('Cadastro de Insumos'!$E$54*M23)*1000)))</f>
        <v/>
      </c>
      <c r="T23" s="57" t="str">
        <f>IF('Cadastro de Insumos'!$O$56=FALSE,"",IF('Cadastro de Insumos'!$P$56=FALSE,(('Cadastro de Insumos'!$E$58*M23)/'Cadastro de Insumos'!$L$58)*1000,(('Cadastro de Insumos'!$E$58*M23)*1000)))</f>
        <v/>
      </c>
      <c r="U23" s="57" t="str">
        <f>IF('Cadastro de Insumos'!$O$60=FALSE,"",IF('Cadastro de Insumos'!$P$60=FALSE,(('Cadastro de Insumos'!$E$62*M23)/'Cadastro de Insumos'!$L$62)*1000,(('Cadastro de Insumos'!$E$62*M23)*1000)))</f>
        <v/>
      </c>
      <c r="V23" s="58" t="str">
        <f>IF('Cadastro de Insumos'!$O$64=FALSE,"",IF('Cadastro de Insumos'!$P$64=FALSE,(('Cadastro de Insumos'!$E$66*M23)/'Cadastro de Insumos'!$L$66)*1000,(('Cadastro de Insumos'!$E$66*M23)*1000)))</f>
        <v/>
      </c>
      <c r="W23" s="56" t="str">
        <f>IF('Cadastro de Insumos'!$O$70=FALSE,"",IF('Cadastro de Insumos'!$P$70=FALSE,(('Cadastro de Insumos'!$E$72*M23)/'Cadastro de Insumos'!$L$72)*1000,(('Cadastro de Insumos'!$E$72*M23)*1000)))</f>
        <v/>
      </c>
      <c r="X23" s="57" t="str">
        <f>IF('Cadastro de Insumos'!$O$74=FALSE,"",IF('Cadastro de Insumos'!$P$74=FALSE,(('Cadastro de Insumos'!$E$76*M23)/'Cadastro de Insumos'!$L$76)*1000,(('Cadastro de Insumos'!$E$76*M23)*1000)))</f>
        <v/>
      </c>
      <c r="Y23" s="57" t="str">
        <f>IF('Cadastro de Insumos'!$O$78=FALSE,"",IF('Cadastro de Insumos'!$P$78=FALSE,(('Cadastro de Insumos'!$E$80*M23)/'Cadastro de Insumos'!$L$80)*1000,(('Cadastro de Insumos'!$E$80*M23)*1000)))</f>
        <v/>
      </c>
      <c r="Z23" s="58" t="str">
        <f>IF('Cadastro de Insumos'!$O$82=FALSE,"",IF('Cadastro de Insumos'!$P$82=FALSE,(('Cadastro de Insumos'!$E$84*M23)/'Cadastro de Insumos'!$L$84)*1000,(('Cadastro de Insumos'!$E$84*M23)*1000)))</f>
        <v/>
      </c>
    </row>
    <row r="24" spans="2:26">
      <c r="B24" s="252">
        <f>B22+0.01</f>
        <v>0.58000000000000007</v>
      </c>
      <c r="C24" s="50"/>
      <c r="D24" s="50"/>
      <c r="E24" s="50"/>
      <c r="F24" s="63"/>
      <c r="G24" s="63"/>
      <c r="H24" s="63"/>
      <c r="I24" s="63"/>
      <c r="J24" s="63"/>
      <c r="K24" s="63"/>
      <c r="L24" s="63"/>
      <c r="M24" s="64" t="str">
        <f>IF(M25="","","+"&amp;ROUND(M25-M23,3))</f>
        <v>+0,097</v>
      </c>
      <c r="N24" s="65" t="str">
        <f>IF(N25="","","+"&amp;ROUND(N25-N23,3))</f>
        <v/>
      </c>
      <c r="O24" s="66" t="str">
        <f>IF(O25="","","+"&amp;ROUND(O25-O23,3))</f>
        <v/>
      </c>
      <c r="P24" s="64" t="str">
        <f t="shared" ref="P24:Z24" si="7">IF(P25="","","+"&amp;ROUND(P25-P23,3))</f>
        <v>+0,388</v>
      </c>
      <c r="Q24" s="65" t="str">
        <f t="shared" si="7"/>
        <v/>
      </c>
      <c r="R24" s="67" t="str">
        <f t="shared" si="7"/>
        <v/>
      </c>
      <c r="S24" s="64" t="str">
        <f t="shared" si="7"/>
        <v/>
      </c>
      <c r="T24" s="65" t="str">
        <f t="shared" si="7"/>
        <v/>
      </c>
      <c r="U24" s="65" t="str">
        <f t="shared" si="7"/>
        <v/>
      </c>
      <c r="V24" s="67" t="str">
        <f t="shared" si="7"/>
        <v/>
      </c>
      <c r="W24" s="64" t="str">
        <f t="shared" si="7"/>
        <v/>
      </c>
      <c r="X24" s="65" t="str">
        <f t="shared" si="7"/>
        <v/>
      </c>
      <c r="Y24" s="65" t="str">
        <f t="shared" si="7"/>
        <v/>
      </c>
      <c r="Z24" s="67" t="str">
        <f t="shared" si="7"/>
        <v/>
      </c>
    </row>
    <row r="25" spans="2:26" ht="16.5" thickBot="1">
      <c r="B25" s="253"/>
      <c r="C25" s="60">
        <f>1*'Cadastro de Insumos'!$P$6</f>
        <v>1</v>
      </c>
      <c r="D25" s="60">
        <f>1*'Cadastro de Insumos'!$P$10</f>
        <v>0</v>
      </c>
      <c r="E25" s="60">
        <f>1*'Cadastro de Insumos'!$P$14</f>
        <v>0</v>
      </c>
      <c r="F25" s="57">
        <f>(B24*(1+$B$6)-1)*'Cadastro de Insumos'!$P$20</f>
        <v>1.33</v>
      </c>
      <c r="G25" s="57">
        <f>(B24*(1+$B$6)-1)*'Cadastro de Insumos'!$P$24</f>
        <v>0</v>
      </c>
      <c r="H25" s="57">
        <f>(B24*(1+$B$6)-1)*'Cadastro de Insumos'!$P$28</f>
        <v>0</v>
      </c>
      <c r="I25" s="57">
        <f>($B$6-(SUM(F25:H25)))*'Cadastro de Insumos'!$P$34</f>
        <v>1.6019999999999999</v>
      </c>
      <c r="J25" s="57">
        <f>($B$6-(SUM(F25:H25)))*'Cadastro de Insumos'!$P$38</f>
        <v>1.0680000000000001</v>
      </c>
      <c r="K25" s="57">
        <f>($B$6-(SUM(F25:H25)))*'Cadastro de Insumos'!$P$42</f>
        <v>0</v>
      </c>
      <c r="L25" s="57">
        <f>($B$6-(SUM(F25:H25)))*'Cadastro de Insumos'!$P$46</f>
        <v>0</v>
      </c>
      <c r="M25" s="56">
        <f>IF(C25=0,"",('Escopo de Estudo'!$D$30/SUM('Ficha de Dosagem - B'!I25:L25))*C25)</f>
        <v>7.4906367041198507</v>
      </c>
      <c r="N25" s="57" t="str">
        <f>IF(N10="","",('Escopo de Estudo'!$D$30/SUM('Ficha de Dosagem - B'!I25:L25))*D25)</f>
        <v/>
      </c>
      <c r="O25" s="58" t="str">
        <f>IF(O10="","",('Escopo de Estudo'!$D$30/SUM('Ficha de Dosagem - B'!I25:L25))*E25)</f>
        <v/>
      </c>
      <c r="P25" s="56">
        <f t="shared" si="1"/>
        <v>9.9625468164794011</v>
      </c>
      <c r="Q25" s="72" t="str">
        <f>IF($Q$10="","",SUM(M25:O25)*G25)</f>
        <v/>
      </c>
      <c r="R25" s="55" t="str">
        <f>IF($R$10="","",SUM(M25:O25)*H25)</f>
        <v/>
      </c>
      <c r="S25" s="56" t="str">
        <f>IF('Cadastro de Insumos'!$O$52=FALSE,"",IF('Cadastro de Insumos'!$P$52=FALSE,(('Cadastro de Insumos'!$E$54*M25)/'Cadastro de Insumos'!$L$54)*1000,(('Cadastro de Insumos'!$E$54*M25)*1000)))</f>
        <v/>
      </c>
      <c r="T25" s="57" t="str">
        <f>IF('Cadastro de Insumos'!$O$56=FALSE,"",IF('Cadastro de Insumos'!$P$56=FALSE,(('Cadastro de Insumos'!$E$58*M25)/'Cadastro de Insumos'!$L$58)*1000,(('Cadastro de Insumos'!$E$58*M25)*1000)))</f>
        <v/>
      </c>
      <c r="U25" s="57" t="str">
        <f>IF('Cadastro de Insumos'!$O$60=FALSE,"",IF('Cadastro de Insumos'!$P$60=FALSE,(('Cadastro de Insumos'!$E$62*M25)/'Cadastro de Insumos'!$L$62)*1000,(('Cadastro de Insumos'!$E$62*M25)*1000)))</f>
        <v/>
      </c>
      <c r="V25" s="58" t="str">
        <f>IF('Cadastro de Insumos'!$O$64=FALSE,"",IF('Cadastro de Insumos'!$P$64=FALSE,(('Cadastro de Insumos'!$E$66*M25)/'Cadastro de Insumos'!$L$66)*1000,(('Cadastro de Insumos'!$E$66*M25)*1000)))</f>
        <v/>
      </c>
      <c r="W25" s="56" t="str">
        <f>IF('Cadastro de Insumos'!$O$70=FALSE,"",IF('Cadastro de Insumos'!$P$70=FALSE,(('Cadastro de Insumos'!$E$72*M25)/'Cadastro de Insumos'!$L$72)*1000,(('Cadastro de Insumos'!$E$72*M25)*1000)))</f>
        <v/>
      </c>
      <c r="X25" s="57" t="str">
        <f>IF('Cadastro de Insumos'!$O$74=FALSE,"",IF('Cadastro de Insumos'!$P$74=FALSE,(('Cadastro de Insumos'!$E$76*M25)/'Cadastro de Insumos'!$L$76)*1000,(('Cadastro de Insumos'!$E$76*M25)*1000)))</f>
        <v/>
      </c>
      <c r="Y25" s="57" t="str">
        <f>IF('Cadastro de Insumos'!$O$78=FALSE,"",IF('Cadastro de Insumos'!$P$78=FALSE,(('Cadastro de Insumos'!$E$80*M25)/'Cadastro de Insumos'!$L$80)*1000,(('Cadastro de Insumos'!$E$80*M25)*1000)))</f>
        <v/>
      </c>
      <c r="Z25" s="58" t="str">
        <f>IF('Cadastro de Insumos'!$O$82=FALSE,"",IF('Cadastro de Insumos'!$P$82=FALSE,(('Cadastro de Insumos'!$E$84*M25)/'Cadastro de Insumos'!$L$84)*1000,(('Cadastro de Insumos'!$E$84*M25)*1000)))</f>
        <v/>
      </c>
    </row>
    <row r="26" spans="2:26">
      <c r="B26" s="252">
        <f>B24+0.01</f>
        <v>0.59000000000000008</v>
      </c>
      <c r="C26" s="50"/>
      <c r="D26" s="50"/>
      <c r="E26" s="50"/>
      <c r="F26" s="63"/>
      <c r="G26" s="63"/>
      <c r="H26" s="63"/>
      <c r="I26" s="63"/>
      <c r="J26" s="63"/>
      <c r="K26" s="63"/>
      <c r="L26" s="63"/>
      <c r="M26" s="64" t="str">
        <f>IF(M27="","","+"&amp;ROUND(M27-M25,3))</f>
        <v>+0,099</v>
      </c>
      <c r="N26" s="65" t="str">
        <f>IF(N27="","","+"&amp;ROUND(N27-N25,3))</f>
        <v/>
      </c>
      <c r="O26" s="66" t="str">
        <f>IF(O27="","","+"&amp;ROUND(O27-O25,3))</f>
        <v/>
      </c>
      <c r="P26" s="64" t="str">
        <f t="shared" ref="P26:Z26" si="8">IF(P27="","","+"&amp;ROUND(P27-P25,3))</f>
        <v>+0,398</v>
      </c>
      <c r="Q26" s="65" t="str">
        <f t="shared" si="8"/>
        <v/>
      </c>
      <c r="R26" s="67" t="str">
        <f t="shared" si="8"/>
        <v/>
      </c>
      <c r="S26" s="64" t="str">
        <f t="shared" si="8"/>
        <v/>
      </c>
      <c r="T26" s="65" t="str">
        <f t="shared" si="8"/>
        <v/>
      </c>
      <c r="U26" s="65" t="str">
        <f t="shared" si="8"/>
        <v/>
      </c>
      <c r="V26" s="67" t="str">
        <f t="shared" si="8"/>
        <v/>
      </c>
      <c r="W26" s="64" t="str">
        <f t="shared" si="8"/>
        <v/>
      </c>
      <c r="X26" s="65" t="str">
        <f t="shared" si="8"/>
        <v/>
      </c>
      <c r="Y26" s="65" t="str">
        <f t="shared" si="8"/>
        <v/>
      </c>
      <c r="Z26" s="67" t="str">
        <f t="shared" si="8"/>
        <v/>
      </c>
    </row>
    <row r="27" spans="2:26" ht="16.5" thickBot="1">
      <c r="B27" s="253"/>
      <c r="C27" s="60">
        <f>1*'Cadastro de Insumos'!$P$6</f>
        <v>1</v>
      </c>
      <c r="D27" s="60">
        <f>1*'Cadastro de Insumos'!$P$10</f>
        <v>0</v>
      </c>
      <c r="E27" s="60">
        <f>1*'Cadastro de Insumos'!$P$14</f>
        <v>0</v>
      </c>
      <c r="F27" s="57">
        <f>(B26*(1+$B$6)-1)*'Cadastro de Insumos'!$P$20</f>
        <v>1.365</v>
      </c>
      <c r="G27" s="57">
        <f>(B26*(1+$B$6)-1)*'Cadastro de Insumos'!$P$24</f>
        <v>0</v>
      </c>
      <c r="H27" s="57">
        <f>(B26*(1+$B$6)-1)*'Cadastro de Insumos'!$P$28</f>
        <v>0</v>
      </c>
      <c r="I27" s="57">
        <f>($B$6-(SUM(F27:H27)))*'Cadastro de Insumos'!$P$34</f>
        <v>1.5809999999999997</v>
      </c>
      <c r="J27" s="57">
        <f>($B$6-(SUM(F27:H27)))*'Cadastro de Insumos'!$P$38</f>
        <v>1.054</v>
      </c>
      <c r="K27" s="57">
        <f>($B$6-(SUM(F27:H27)))*'Cadastro de Insumos'!$P$42</f>
        <v>0</v>
      </c>
      <c r="L27" s="57">
        <f>($B$6-(SUM(F27:H27)))*'Cadastro de Insumos'!$P$46</f>
        <v>0</v>
      </c>
      <c r="M27" s="56">
        <f>IF(C27=0,"",('Escopo de Estudo'!$D$30/SUM('Ficha de Dosagem - B'!I27:L27))*C27)</f>
        <v>7.5901328273244788</v>
      </c>
      <c r="N27" s="57" t="str">
        <f>IF(N10="","",('Escopo de Estudo'!$D$30/SUM('Ficha de Dosagem - B'!I27:L27))*D27)</f>
        <v/>
      </c>
      <c r="O27" s="58" t="str">
        <f>IF(O10="","",('Escopo de Estudo'!$D$30/SUM('Ficha de Dosagem - B'!I27:L27))*E27)</f>
        <v/>
      </c>
      <c r="P27" s="56">
        <f t="shared" si="1"/>
        <v>10.360531309297913</v>
      </c>
      <c r="Q27" s="72" t="str">
        <f>IF($Q$10="","",SUM(M27:O27)*G27)</f>
        <v/>
      </c>
      <c r="R27" s="55" t="str">
        <f>IF($R$10="","",SUM(M27:O27)*H27)</f>
        <v/>
      </c>
      <c r="S27" s="56" t="str">
        <f>IF('Cadastro de Insumos'!$O$52=FALSE,"",IF('Cadastro de Insumos'!$P$52=FALSE,(('Cadastro de Insumos'!$E$54*M27)/'Cadastro de Insumos'!$L$54)*1000,(('Cadastro de Insumos'!$E$54*M27)*1000)))</f>
        <v/>
      </c>
      <c r="T27" s="57" t="str">
        <f>IF('Cadastro de Insumos'!$O$56=FALSE,"",IF('Cadastro de Insumos'!$P$56=FALSE,(('Cadastro de Insumos'!$E$58*M27)/'Cadastro de Insumos'!$L$58)*1000,(('Cadastro de Insumos'!$E$58*M27)*1000)))</f>
        <v/>
      </c>
      <c r="U27" s="57" t="str">
        <f>IF('Cadastro de Insumos'!$O$60=FALSE,"",IF('Cadastro de Insumos'!$P$60=FALSE,(('Cadastro de Insumos'!$E$62*M27)/'Cadastro de Insumos'!$L$62)*1000,(('Cadastro de Insumos'!$E$62*M27)*1000)))</f>
        <v/>
      </c>
      <c r="V27" s="58" t="str">
        <f>IF('Cadastro de Insumos'!$O$64=FALSE,"",IF('Cadastro de Insumos'!$P$64=FALSE,(('Cadastro de Insumos'!$E$66*M27)/'Cadastro de Insumos'!$L$66)*1000,(('Cadastro de Insumos'!$E$66*M27)*1000)))</f>
        <v/>
      </c>
      <c r="W27" s="56" t="str">
        <f>IF('Cadastro de Insumos'!$O$70=FALSE,"",IF('Cadastro de Insumos'!$P$70=FALSE,(('Cadastro de Insumos'!$E$72*M27)/'Cadastro de Insumos'!$L$72)*1000,(('Cadastro de Insumos'!$E$72*M27)*1000)))</f>
        <v/>
      </c>
      <c r="X27" s="57" t="str">
        <f>IF('Cadastro de Insumos'!$O$74=FALSE,"",IF('Cadastro de Insumos'!$P$74=FALSE,(('Cadastro de Insumos'!$E$76*M27)/'Cadastro de Insumos'!$L$76)*1000,(('Cadastro de Insumos'!$E$76*M27)*1000)))</f>
        <v/>
      </c>
      <c r="Y27" s="57" t="str">
        <f>IF('Cadastro de Insumos'!$O$78=FALSE,"",IF('Cadastro de Insumos'!$P$78=FALSE,(('Cadastro de Insumos'!$E$80*M27)/'Cadastro de Insumos'!$L$80)*1000,(('Cadastro de Insumos'!$E$80*M27)*1000)))</f>
        <v/>
      </c>
      <c r="Z27" s="58" t="str">
        <f>IF('Cadastro de Insumos'!$O$82=FALSE,"",IF('Cadastro de Insumos'!$P$82=FALSE,(('Cadastro de Insumos'!$E$84*M27)/'Cadastro de Insumos'!$L$84)*1000,(('Cadastro de Insumos'!$E$84*M27)*1000)))</f>
        <v/>
      </c>
    </row>
    <row r="28" spans="2:26">
      <c r="B28" s="252">
        <f>B26+0.01</f>
        <v>0.60000000000000009</v>
      </c>
      <c r="C28" s="50"/>
      <c r="D28" s="50"/>
      <c r="E28" s="50"/>
      <c r="F28" s="63"/>
      <c r="G28" s="63"/>
      <c r="H28" s="63"/>
      <c r="I28" s="63"/>
      <c r="J28" s="63"/>
      <c r="K28" s="63"/>
      <c r="L28" s="63"/>
      <c r="M28" s="64" t="str">
        <f>IF(M29="","","+"&amp;ROUND(M29-M27,3))</f>
        <v>+0,102</v>
      </c>
      <c r="N28" s="65" t="str">
        <f>IF(N29="","","+"&amp;ROUND(N29-N27,3))</f>
        <v/>
      </c>
      <c r="O28" s="66" t="str">
        <f>IF(O29="","","+"&amp;ROUND(O29-O27,3))</f>
        <v/>
      </c>
      <c r="P28" s="64" t="str">
        <f t="shared" ref="P28:Z28" si="9">IF(P29="","","+"&amp;ROUND(P29-P27,3))</f>
        <v>+0,409</v>
      </c>
      <c r="Q28" s="65" t="str">
        <f t="shared" si="9"/>
        <v/>
      </c>
      <c r="R28" s="67" t="str">
        <f t="shared" si="9"/>
        <v/>
      </c>
      <c r="S28" s="64" t="str">
        <f t="shared" si="9"/>
        <v/>
      </c>
      <c r="T28" s="65" t="str">
        <f t="shared" si="9"/>
        <v/>
      </c>
      <c r="U28" s="65" t="str">
        <f t="shared" si="9"/>
        <v/>
      </c>
      <c r="V28" s="67" t="str">
        <f t="shared" si="9"/>
        <v/>
      </c>
      <c r="W28" s="64" t="str">
        <f t="shared" si="9"/>
        <v/>
      </c>
      <c r="X28" s="65" t="str">
        <f t="shared" si="9"/>
        <v/>
      </c>
      <c r="Y28" s="65" t="str">
        <f t="shared" si="9"/>
        <v/>
      </c>
      <c r="Z28" s="67" t="str">
        <f t="shared" si="9"/>
        <v/>
      </c>
    </row>
    <row r="29" spans="2:26" ht="16.5" thickBot="1">
      <c r="B29" s="253"/>
      <c r="C29" s="60">
        <f>1*'Cadastro de Insumos'!$P$6</f>
        <v>1</v>
      </c>
      <c r="D29" s="60">
        <f>1*'Cadastro de Insumos'!$P$10</f>
        <v>0</v>
      </c>
      <c r="E29" s="60">
        <f>1*'Cadastro de Insumos'!$P$14</f>
        <v>0</v>
      </c>
      <c r="F29" s="57">
        <f>(B28*(1+$B$6)-1)*'Cadastro de Insumos'!$P$20</f>
        <v>1.4000000000000001</v>
      </c>
      <c r="G29" s="57">
        <f>(B28*(1+$B$6)-1)*'Cadastro de Insumos'!$P$24</f>
        <v>0</v>
      </c>
      <c r="H29" s="57">
        <f>(B28*(1+$B$6)-1)*'Cadastro de Insumos'!$P$28</f>
        <v>0</v>
      </c>
      <c r="I29" s="57">
        <f>($B$6-(SUM(F29:H29)))*'Cadastro de Insumos'!$P$34</f>
        <v>1.5599999999999998</v>
      </c>
      <c r="J29" s="57">
        <f>($B$6-(SUM(F29:H29)))*'Cadastro de Insumos'!$P$38</f>
        <v>1.0399999999999998</v>
      </c>
      <c r="K29" s="57">
        <f>($B$6-(SUM(F29:H29)))*'Cadastro de Insumos'!$P$42</f>
        <v>0</v>
      </c>
      <c r="L29" s="57">
        <f>($B$6-(SUM(F29:H29)))*'Cadastro de Insumos'!$P$46</f>
        <v>0</v>
      </c>
      <c r="M29" s="56">
        <f>IF(C29=0,"",('Escopo de Estudo'!$D$30/SUM('Ficha de Dosagem - B'!I29:L29))*C29)</f>
        <v>7.6923076923076934</v>
      </c>
      <c r="N29" s="57" t="str">
        <f>IF(N10="","",('Escopo de Estudo'!$D$30/SUM('Ficha de Dosagem - B'!I29:L29))*D29)</f>
        <v/>
      </c>
      <c r="O29" s="58" t="str">
        <f>IF(O10="","",('Escopo de Estudo'!$D$30/SUM('Ficha de Dosagem - B'!I29:L29))*E29)</f>
        <v/>
      </c>
      <c r="P29" s="56">
        <f t="shared" si="1"/>
        <v>10.769230769230772</v>
      </c>
      <c r="Q29" s="72" t="str">
        <f>IF($Q$10="","",SUM(M29:O29)*G29)</f>
        <v/>
      </c>
      <c r="R29" s="55" t="str">
        <f>IF($R$10="","",SUM(M29:O29)*H29)</f>
        <v/>
      </c>
      <c r="S29" s="56" t="str">
        <f>IF('Cadastro de Insumos'!$O$52=FALSE,"",IF('Cadastro de Insumos'!$P$52=FALSE,(('Cadastro de Insumos'!$E$54*M29)/'Cadastro de Insumos'!$L$54)*1000,(('Cadastro de Insumos'!$E$54*M29)*1000)))</f>
        <v/>
      </c>
      <c r="T29" s="57" t="str">
        <f>IF('Cadastro de Insumos'!$O$56=FALSE,"",IF('Cadastro de Insumos'!$P$56=FALSE,(('Cadastro de Insumos'!$E$58*M29)/'Cadastro de Insumos'!$L$58)*1000,(('Cadastro de Insumos'!$E$58*M29)*1000)))</f>
        <v/>
      </c>
      <c r="U29" s="57" t="str">
        <f>IF('Cadastro de Insumos'!$O$60=FALSE,"",IF('Cadastro de Insumos'!$P$60=FALSE,(('Cadastro de Insumos'!$E$62*M29)/'Cadastro de Insumos'!$L$62)*1000,(('Cadastro de Insumos'!$E$62*M29)*1000)))</f>
        <v/>
      </c>
      <c r="V29" s="58" t="str">
        <f>IF('Cadastro de Insumos'!$O$64=FALSE,"",IF('Cadastro de Insumos'!$P$64=FALSE,(('Cadastro de Insumos'!$E$66*M29)/'Cadastro de Insumos'!$L$66)*1000,(('Cadastro de Insumos'!$E$66*M29)*1000)))</f>
        <v/>
      </c>
      <c r="W29" s="56" t="str">
        <f>IF('Cadastro de Insumos'!$O$70=FALSE,"",IF('Cadastro de Insumos'!$P$70=FALSE,(('Cadastro de Insumos'!$E$72*M29)/'Cadastro de Insumos'!$L$72)*1000,(('Cadastro de Insumos'!$E$72*M29)*1000)))</f>
        <v/>
      </c>
      <c r="X29" s="57" t="str">
        <f>IF('Cadastro de Insumos'!$O$74=FALSE,"",IF('Cadastro de Insumos'!$P$74=FALSE,(('Cadastro de Insumos'!$E$76*M29)/'Cadastro de Insumos'!$L$76)*1000,(('Cadastro de Insumos'!$E$76*M29)*1000)))</f>
        <v/>
      </c>
      <c r="Y29" s="57" t="str">
        <f>IF('Cadastro de Insumos'!$O$78=FALSE,"",IF('Cadastro de Insumos'!$P$78=FALSE,(('Cadastro de Insumos'!$E$80*M29)/'Cadastro de Insumos'!$L$80)*1000,(('Cadastro de Insumos'!$E$80*M29)*1000)))</f>
        <v/>
      </c>
      <c r="Z29" s="58" t="str">
        <f>IF('Cadastro de Insumos'!$O$82=FALSE,"",IF('Cadastro de Insumos'!$P$82=FALSE,(('Cadastro de Insumos'!$E$84*M29)/'Cadastro de Insumos'!$L$84)*1000,(('Cadastro de Insumos'!$E$84*M29)*1000)))</f>
        <v/>
      </c>
    </row>
    <row r="30" spans="2:26">
      <c r="B30" s="252">
        <f>B28+0.01</f>
        <v>0.6100000000000001</v>
      </c>
      <c r="C30" s="50"/>
      <c r="D30" s="50"/>
      <c r="E30" s="50"/>
      <c r="F30" s="63"/>
      <c r="G30" s="63"/>
      <c r="H30" s="63"/>
      <c r="I30" s="63"/>
      <c r="J30" s="63"/>
      <c r="K30" s="63"/>
      <c r="L30" s="63"/>
      <c r="M30" s="64" t="str">
        <f>IF(M31="","","+"&amp;ROUND(M31-M29,3))</f>
        <v>+0,105</v>
      </c>
      <c r="N30" s="65" t="str">
        <f>IF(N31="","","+"&amp;ROUND(N31-N29,3))</f>
        <v/>
      </c>
      <c r="O30" s="66" t="str">
        <f>IF(O31="","","+"&amp;ROUND(O31-O29,3))</f>
        <v/>
      </c>
      <c r="P30" s="64" t="str">
        <f t="shared" ref="P30:Z30" si="10">IF(P31="","","+"&amp;ROUND(P31-P29,3))</f>
        <v>+0,42</v>
      </c>
      <c r="Q30" s="65" t="str">
        <f t="shared" si="10"/>
        <v/>
      </c>
      <c r="R30" s="67" t="str">
        <f t="shared" si="10"/>
        <v/>
      </c>
      <c r="S30" s="64" t="str">
        <f t="shared" si="10"/>
        <v/>
      </c>
      <c r="T30" s="65" t="str">
        <f t="shared" si="10"/>
        <v/>
      </c>
      <c r="U30" s="65" t="str">
        <f t="shared" si="10"/>
        <v/>
      </c>
      <c r="V30" s="67" t="str">
        <f t="shared" si="10"/>
        <v/>
      </c>
      <c r="W30" s="64" t="str">
        <f t="shared" si="10"/>
        <v/>
      </c>
      <c r="X30" s="65" t="str">
        <f t="shared" si="10"/>
        <v/>
      </c>
      <c r="Y30" s="65" t="str">
        <f t="shared" si="10"/>
        <v/>
      </c>
      <c r="Z30" s="67" t="str">
        <f t="shared" si="10"/>
        <v/>
      </c>
    </row>
    <row r="31" spans="2:26" ht="16.5" thickBot="1">
      <c r="B31" s="253"/>
      <c r="C31" s="60">
        <f>1*'Cadastro de Insumos'!$P$6</f>
        <v>1</v>
      </c>
      <c r="D31" s="60">
        <f>1*'Cadastro de Insumos'!$P$10</f>
        <v>0</v>
      </c>
      <c r="E31" s="60">
        <f>1*'Cadastro de Insumos'!$P$14</f>
        <v>0</v>
      </c>
      <c r="F31" s="57">
        <f>(B30*(1+$B$6)-1)*'Cadastro de Insumos'!$P$20</f>
        <v>1.4350000000000005</v>
      </c>
      <c r="G31" s="57">
        <f>(B30*(1+$B$6)-1)*'Cadastro de Insumos'!$P$24</f>
        <v>0</v>
      </c>
      <c r="H31" s="57">
        <f>(B30*(1+$B$6)-1)*'Cadastro de Insumos'!$P$28</f>
        <v>0</v>
      </c>
      <c r="I31" s="57">
        <f>($B$6-(SUM(F31:H31)))*'Cadastro de Insumos'!$P$34</f>
        <v>1.5389999999999997</v>
      </c>
      <c r="J31" s="57">
        <f>($B$6-(SUM(F31:H31)))*'Cadastro de Insumos'!$P$38</f>
        <v>1.0259999999999998</v>
      </c>
      <c r="K31" s="57">
        <f>($B$6-(SUM(F31:H31)))*'Cadastro de Insumos'!$P$42</f>
        <v>0</v>
      </c>
      <c r="L31" s="57">
        <f>($B$6-(SUM(F31:H31)))*'Cadastro de Insumos'!$P$46</f>
        <v>0</v>
      </c>
      <c r="M31" s="56">
        <f>IF(C31=0,"",('Escopo de Estudo'!$D$30/SUM('Ficha de Dosagem - B'!I31:L31))*C31)</f>
        <v>7.7972709551656934</v>
      </c>
      <c r="N31" s="57" t="str">
        <f>IF(N10="","",('Escopo de Estudo'!$D$30/SUM('Ficha de Dosagem - B'!I31:L31))*D31)</f>
        <v/>
      </c>
      <c r="O31" s="58" t="str">
        <f>IF(O10="","",('Escopo de Estudo'!$D$30/SUM('Ficha de Dosagem - B'!I31:L31))*E31)</f>
        <v/>
      </c>
      <c r="P31" s="56">
        <f t="shared" si="1"/>
        <v>11.189083820662773</v>
      </c>
      <c r="Q31" s="57" t="str">
        <f>IF($Q$10="","",SUM(M31:O31)*G31)</f>
        <v/>
      </c>
      <c r="R31" s="58" t="str">
        <f>IF($R$10="","",SUM(M31:O31)*H31)</f>
        <v/>
      </c>
      <c r="S31" s="56" t="str">
        <f>IF('Cadastro de Insumos'!$O$52=FALSE,"",IF('Cadastro de Insumos'!$P$52=FALSE,(('Cadastro de Insumos'!$E$54*M31)/'Cadastro de Insumos'!$L$54)*1000,(('Cadastro de Insumos'!$E$54*M31)*1000)))</f>
        <v/>
      </c>
      <c r="T31" s="57" t="str">
        <f>IF('Cadastro de Insumos'!$O$56=FALSE,"",IF('Cadastro de Insumos'!$P$56=FALSE,(('Cadastro de Insumos'!$E$58*M31)/'Cadastro de Insumos'!$L$58)*1000,(('Cadastro de Insumos'!$E$58*M31)*1000)))</f>
        <v/>
      </c>
      <c r="U31" s="57" t="str">
        <f>IF('Cadastro de Insumos'!$O$60=FALSE,"",IF('Cadastro de Insumos'!$P$60=FALSE,(('Cadastro de Insumos'!$E$62*M31)/'Cadastro de Insumos'!$L$62)*1000,(('Cadastro de Insumos'!$E$62*M31)*1000)))</f>
        <v/>
      </c>
      <c r="V31" s="58" t="str">
        <f>IF('Cadastro de Insumos'!$O$64=FALSE,"",IF('Cadastro de Insumos'!$P$64=FALSE,(('Cadastro de Insumos'!$E$66*M31)/'Cadastro de Insumos'!$L$66)*1000,(('Cadastro de Insumos'!$E$66*M31)*1000)))</f>
        <v/>
      </c>
      <c r="W31" s="56" t="str">
        <f>IF('Cadastro de Insumos'!$O$70=FALSE,"",IF('Cadastro de Insumos'!$P$70=FALSE,(('Cadastro de Insumos'!$E$72*M31)/'Cadastro de Insumos'!$L$72)*1000,(('Cadastro de Insumos'!$E$72*M31)*1000)))</f>
        <v/>
      </c>
      <c r="X31" s="57" t="str">
        <f>IF('Cadastro de Insumos'!$O$74=FALSE,"",IF('Cadastro de Insumos'!$P$74=FALSE,(('Cadastro de Insumos'!$E$76*M31)/'Cadastro de Insumos'!$L$76)*1000,(('Cadastro de Insumos'!$E$76*M31)*1000)))</f>
        <v/>
      </c>
      <c r="Y31" s="57" t="str">
        <f>IF('Cadastro de Insumos'!$O$78=FALSE,"",IF('Cadastro de Insumos'!$P$78=FALSE,(('Cadastro de Insumos'!$E$80*M31)/'Cadastro de Insumos'!$L$80)*1000,(('Cadastro de Insumos'!$E$80*M31)*1000)))</f>
        <v/>
      </c>
      <c r="Z31" s="58" t="str">
        <f>IF('Cadastro de Insumos'!$O$82=FALSE,"",IF('Cadastro de Insumos'!$P$82=FALSE,(('Cadastro de Insumos'!$E$84*M31)/'Cadastro de Insumos'!$L$84)*1000,(('Cadastro de Insumos'!$E$84*M31)*1000)))</f>
        <v/>
      </c>
    </row>
  </sheetData>
  <mergeCells count="34">
    <mergeCell ref="N7:O7"/>
    <mergeCell ref="Q7:R7"/>
    <mergeCell ref="T7:V7"/>
    <mergeCell ref="X7:Z7"/>
    <mergeCell ref="N2:O2"/>
    <mergeCell ref="U2:W2"/>
    <mergeCell ref="N3:O3"/>
    <mergeCell ref="U3:W3"/>
    <mergeCell ref="N5:O5"/>
    <mergeCell ref="Q5:R5"/>
    <mergeCell ref="T5:V5"/>
    <mergeCell ref="X5:Z5"/>
    <mergeCell ref="N6:O6"/>
    <mergeCell ref="Q6:R6"/>
    <mergeCell ref="T6:V6"/>
    <mergeCell ref="X6:Z6"/>
    <mergeCell ref="T8:V8"/>
    <mergeCell ref="X8:Z8"/>
    <mergeCell ref="B9:B10"/>
    <mergeCell ref="C9:K9"/>
    <mergeCell ref="M9:O9"/>
    <mergeCell ref="P9:R9"/>
    <mergeCell ref="S9:V9"/>
    <mergeCell ref="W9:Z9"/>
    <mergeCell ref="B24:B25"/>
    <mergeCell ref="B26:B27"/>
    <mergeCell ref="B28:B29"/>
    <mergeCell ref="B30:B31"/>
    <mergeCell ref="B12:B13"/>
    <mergeCell ref="B14:B15"/>
    <mergeCell ref="B16:B17"/>
    <mergeCell ref="B18:B19"/>
    <mergeCell ref="B20:B21"/>
    <mergeCell ref="B22:B23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CF299FE-2983-4B6A-99FF-AF38A878D5E2}">
            <xm:f>'Dados - Fase Plástica'!$P$1="ERRO"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B2:Z31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7940-0917-4A7B-A33D-852C6593D9DB}">
  <dimension ref="B1:Z31"/>
  <sheetViews>
    <sheetView view="pageBreakPreview" zoomScaleNormal="100" zoomScaleSheetLayoutView="100" workbookViewId="0">
      <selection activeCell="N2" sqref="N2:O2"/>
    </sheetView>
  </sheetViews>
  <sheetFormatPr defaultColWidth="9.125" defaultRowHeight="15.75"/>
  <cols>
    <col min="1" max="2" width="9.125" style="27"/>
    <col min="3" max="12" width="0" style="27" hidden="1" customWidth="1"/>
    <col min="13" max="18" width="16.125" style="27" customWidth="1"/>
    <col min="19" max="26" width="13.375" style="27" customWidth="1"/>
    <col min="27" max="16384" width="9.125" style="27"/>
  </cols>
  <sheetData>
    <row r="1" spans="2:26" ht="16.5" thickBot="1"/>
    <row r="2" spans="2:26" ht="28.5" customHeight="1">
      <c r="B2" s="49"/>
      <c r="C2" s="50"/>
      <c r="D2" s="50"/>
      <c r="E2" s="50"/>
      <c r="F2" s="50"/>
      <c r="G2" s="50"/>
      <c r="H2" s="50"/>
      <c r="I2" s="50"/>
      <c r="J2" s="50"/>
      <c r="K2" s="50"/>
      <c r="L2" s="50"/>
      <c r="M2" s="49" t="str">
        <f>IF('Cadastro de Insumos'!O34=FALSE,"","p1")</f>
        <v>p1</v>
      </c>
      <c r="N2" s="260" t="str">
        <f>IF(M2="","",'Cadastro de Insumos'!E34&amp;" - "&amp;'Cadastro de Insumos'!E35&amp;" - "&amp;'Cadastro de Insumos'!E36)</f>
        <v>Brita 1 - Serra de São Vicente - Cuiabá-MT</v>
      </c>
      <c r="O2" s="260"/>
      <c r="P2" s="68" t="str">
        <f>IF(M2="","","Quantidade (kg)")</f>
        <v>Quantidade (kg)</v>
      </c>
      <c r="Q2" s="71">
        <f>IF(M2="","",'Escopo de Estudo'!D30*'Cadastro de Insumos'!P34)</f>
        <v>12</v>
      </c>
      <c r="R2" s="50"/>
      <c r="S2" s="50"/>
      <c r="T2" s="49" t="str">
        <f>IF('Cadastro de Insumos'!O42=FALSE,"","p3")</f>
        <v/>
      </c>
      <c r="U2" s="248" t="str">
        <f>IF(T2="","",'Cadastro de Insumos'!E42&amp;" - "&amp;'Cadastro de Insumos'!E43&amp;" - "&amp;'Cadastro de Insumos'!E44)</f>
        <v/>
      </c>
      <c r="V2" s="248"/>
      <c r="W2" s="248"/>
      <c r="X2" s="68" t="str">
        <f>IF(U2="","","Quantidade (kg)")</f>
        <v/>
      </c>
      <c r="Y2" s="51" t="str">
        <f>IF(T2="","",'Escopo de Estudo'!D30*'Cadastro de Insumos'!P42)</f>
        <v/>
      </c>
      <c r="Z2" s="51"/>
    </row>
    <row r="3" spans="2:26" ht="28.5" customHeight="1" thickBot="1">
      <c r="B3" s="52"/>
      <c r="M3" s="59" t="str">
        <f>IF('Cadastro de Insumos'!O38=FALSE,"","p2")</f>
        <v>p2</v>
      </c>
      <c r="N3" s="261" t="str">
        <f>IF(M3="","",'Cadastro de Insumos'!E38&amp;" - "&amp;'Cadastro de Insumos'!E39&amp;" - "&amp;'Cadastro de Insumos'!E40)</f>
        <v>Brita 0 - Serra de São Vicente - Cuiabá-MT</v>
      </c>
      <c r="O3" s="261"/>
      <c r="P3" s="69" t="str">
        <f>IF(M3="","","Quantidade (kg)")</f>
        <v>Quantidade (kg)</v>
      </c>
      <c r="Q3" s="58">
        <f>IF(M3="","",'Escopo de Estudo'!D30*'Cadastro de Insumos'!P38)</f>
        <v>8</v>
      </c>
      <c r="T3" s="59" t="str">
        <f>IF('Cadastro de Insumos'!O46=FALSE,"","p4")</f>
        <v/>
      </c>
      <c r="U3" s="262" t="str">
        <f>IF(T3="","",'Cadastro de Insumos'!E46&amp;" - "&amp;'Cadastro de Insumos'!E47&amp;" - "&amp;'Cadastro de Insumos'!E48)</f>
        <v/>
      </c>
      <c r="V3" s="262"/>
      <c r="W3" s="262"/>
      <c r="X3" s="69" t="str">
        <f>IF(U3="","","Quantidade (kg)")</f>
        <v/>
      </c>
      <c r="Y3" s="61" t="str">
        <f>IF(T3="","",'Escopo de Estudo'!D30*'Cadastro de Insumos'!P46)</f>
        <v/>
      </c>
      <c r="Z3" s="53"/>
    </row>
    <row r="4" spans="2:26" ht="15.75" customHeight="1" thickBot="1">
      <c r="B4" s="52"/>
      <c r="Z4" s="53"/>
    </row>
    <row r="5" spans="2:26" ht="28.5" customHeight="1">
      <c r="B5" s="47" t="s">
        <v>81</v>
      </c>
      <c r="M5" s="49" t="str">
        <f>M10</f>
        <v>CP</v>
      </c>
      <c r="N5" s="254" t="str">
        <f>IF(M5="","",'Cadastro de Insumos'!E6&amp;" - "&amp;'Cadastro de Insumos'!E7&amp;" - "&amp;'Cadastro de Insumos'!E8)</f>
        <v>CP II F 40 - Votorantim - Cuiabá-MT</v>
      </c>
      <c r="O5" s="255"/>
      <c r="P5" s="49" t="str">
        <f>P10</f>
        <v>a1</v>
      </c>
      <c r="Q5" s="254" t="str">
        <f>IF(P5="","",'Cadastro de Insumos'!E20&amp;" - "&amp;'Cadastro de Insumos'!E21&amp;" - "&amp;'Cadastro de Insumos'!E22)</f>
        <v>Areia Natural do Rio Cuiabá - - - Cuiabá - MT</v>
      </c>
      <c r="R5" s="255"/>
      <c r="S5" s="49" t="str">
        <f>S10</f>
        <v/>
      </c>
      <c r="T5" s="254" t="str">
        <f>IF(S5="","",'Cadastro de Insumos'!E52&amp;" - "&amp;'Cadastro de Insumos'!E53&amp;" - "&amp;'Cadastro de Insumos'!E54*100&amp;"% - "&amp;'Cadastro de Insumos'!L54)</f>
        <v/>
      </c>
      <c r="U5" s="254"/>
      <c r="V5" s="255"/>
      <c r="W5" s="49" t="str">
        <f>W10</f>
        <v/>
      </c>
      <c r="X5" s="254"/>
      <c r="Y5" s="254"/>
      <c r="Z5" s="255"/>
    </row>
    <row r="6" spans="2:26" ht="28.5" customHeight="1" thickBot="1">
      <c r="B6" s="48">
        <f>'Escopo de Estudo'!L8</f>
        <v>5</v>
      </c>
      <c r="M6" s="52" t="str">
        <f>N10</f>
        <v/>
      </c>
      <c r="N6" s="256" t="str">
        <f>IF(M6="","",'Cadastro de Insumos'!E10&amp;" - "&amp;'Cadastro de Insumos'!E11&amp;" - "&amp;'Cadastro de Insumos'!E12)</f>
        <v/>
      </c>
      <c r="O6" s="257"/>
      <c r="P6" s="52" t="str">
        <f>Q10</f>
        <v/>
      </c>
      <c r="Q6" s="256" t="str">
        <f>IF(P6="","",'Cadastro de Insumos'!E24&amp;" - "&amp;'Cadastro de Insumos'!E25&amp;" - "&amp;'Cadastro de Insumos'!E26)</f>
        <v/>
      </c>
      <c r="R6" s="257"/>
      <c r="S6" s="52" t="str">
        <f>T10</f>
        <v/>
      </c>
      <c r="T6" s="256" t="str">
        <f>IF(S6="","",'Cadastro de Insumos'!E56&amp;" - "&amp;'Cadastro de Insumos'!E57&amp;" - "&amp;'Cadastro de Insumos'!E58*100&amp;"% - "&amp;'Cadastro de Insumos'!L58)</f>
        <v/>
      </c>
      <c r="U6" s="256"/>
      <c r="V6" s="257"/>
      <c r="W6" s="52" t="str">
        <f>X10</f>
        <v/>
      </c>
      <c r="X6" s="256"/>
      <c r="Y6" s="256"/>
      <c r="Z6" s="257"/>
    </row>
    <row r="7" spans="2:26" ht="28.5" customHeight="1" thickBot="1">
      <c r="B7" s="52"/>
      <c r="M7" s="59" t="str">
        <f>O10</f>
        <v/>
      </c>
      <c r="N7" s="258" t="str">
        <f>IF(M7="","",'Cadastro de Insumos'!E14&amp;" - "&amp;'Cadastro de Insumos'!E15&amp;" - "&amp;'Cadastro de Insumos'!E16)</f>
        <v/>
      </c>
      <c r="O7" s="259"/>
      <c r="P7" s="59" t="str">
        <f>R10</f>
        <v/>
      </c>
      <c r="Q7" s="258" t="str">
        <f>IF(P7="","",'Cadastro de Insumos'!E28&amp;" - "&amp;'Cadastro de Insumos'!E29&amp;" - "&amp;'Cadastro de Insumos'!E30)</f>
        <v/>
      </c>
      <c r="R7" s="259"/>
      <c r="S7" s="52" t="str">
        <f>U10</f>
        <v/>
      </c>
      <c r="T7" s="256" t="str">
        <f>IF(S7="","",'Cadastro de Insumos'!E60&amp;" - "&amp;'Cadastro de Insumos'!E61&amp;" - "&amp;'Cadastro de Insumos'!E62*100&amp;"% - "&amp;'Cadastro de Insumos'!L62)</f>
        <v/>
      </c>
      <c r="U7" s="256"/>
      <c r="V7" s="257"/>
      <c r="W7" s="52" t="str">
        <f>Y10</f>
        <v/>
      </c>
      <c r="X7" s="256"/>
      <c r="Y7" s="256"/>
      <c r="Z7" s="257"/>
    </row>
    <row r="8" spans="2:26" ht="28.5" customHeight="1" thickBot="1">
      <c r="B8" s="52"/>
      <c r="M8" s="50"/>
      <c r="N8" s="50"/>
      <c r="O8" s="50"/>
      <c r="Q8" s="50"/>
      <c r="R8" s="53"/>
      <c r="S8" s="59" t="str">
        <f>V10</f>
        <v/>
      </c>
      <c r="T8" s="258" t="str">
        <f>IF(S8="","",'Cadastro de Insumos'!E64&amp;" - "&amp;'Cadastro de Insumos'!E65&amp;" - "&amp;'Cadastro de Insumos'!E66*100&amp;"% - "&amp;'Cadastro de Insumos'!L66)</f>
        <v/>
      </c>
      <c r="U8" s="258"/>
      <c r="V8" s="259"/>
      <c r="W8" s="59" t="str">
        <f>Z10</f>
        <v/>
      </c>
      <c r="X8" s="258"/>
      <c r="Y8" s="258"/>
      <c r="Z8" s="259"/>
    </row>
    <row r="9" spans="2:26">
      <c r="B9" s="250" t="s">
        <v>65</v>
      </c>
      <c r="C9" s="248" t="s">
        <v>121</v>
      </c>
      <c r="D9" s="248"/>
      <c r="E9" s="248"/>
      <c r="F9" s="248"/>
      <c r="G9" s="248"/>
      <c r="H9" s="248"/>
      <c r="I9" s="248"/>
      <c r="J9" s="248"/>
      <c r="K9" s="248"/>
      <c r="L9" s="50"/>
      <c r="M9" s="247" t="s">
        <v>122</v>
      </c>
      <c r="N9" s="248"/>
      <c r="O9" s="249"/>
      <c r="P9" s="247" t="s">
        <v>123</v>
      </c>
      <c r="Q9" s="248"/>
      <c r="R9" s="249"/>
      <c r="S9" s="247" t="s">
        <v>124</v>
      </c>
      <c r="T9" s="248"/>
      <c r="U9" s="248"/>
      <c r="V9" s="249"/>
      <c r="W9" s="247" t="s">
        <v>125</v>
      </c>
      <c r="X9" s="248"/>
      <c r="Y9" s="248"/>
      <c r="Z9" s="249"/>
    </row>
    <row r="10" spans="2:26" ht="16.5" thickBot="1">
      <c r="B10" s="251"/>
      <c r="C10" s="60" t="s">
        <v>79</v>
      </c>
      <c r="D10" s="60" t="s">
        <v>126</v>
      </c>
      <c r="E10" s="60" t="s">
        <v>127</v>
      </c>
      <c r="F10" s="60" t="s">
        <v>128</v>
      </c>
      <c r="G10" s="60" t="s">
        <v>129</v>
      </c>
      <c r="H10" s="60" t="s">
        <v>130</v>
      </c>
      <c r="I10" s="60" t="s">
        <v>131</v>
      </c>
      <c r="J10" s="60" t="s">
        <v>132</v>
      </c>
      <c r="K10" s="60" t="s">
        <v>133</v>
      </c>
      <c r="L10" s="60" t="s">
        <v>134</v>
      </c>
      <c r="M10" s="59" t="s">
        <v>79</v>
      </c>
      <c r="N10" s="60" t="str">
        <f>IF('Cadastro de Insumos'!O10=FALSE,"","MCS1")</f>
        <v/>
      </c>
      <c r="O10" s="61" t="str">
        <f>IF('Cadastro de Insumos'!O14=FALSE,"","MCS2")</f>
        <v/>
      </c>
      <c r="P10" s="59" t="str">
        <f>IF('Cadastro de Insumos'!O20=FALSE,"","a1")</f>
        <v>a1</v>
      </c>
      <c r="Q10" s="60" t="str">
        <f>IF('Cadastro de Insumos'!O24=FALSE,"","a2")</f>
        <v/>
      </c>
      <c r="R10" s="61" t="str">
        <f>IF('Cadastro de Insumos'!O28=FALSE,"","a3")</f>
        <v/>
      </c>
      <c r="S10" s="59" t="str">
        <f>IF('Cadastro de Insumos'!O52=FALSE,"","Adt1"&amp;IF('Cadastro de Insumos'!P52=FALSE," - ml"," - g"))</f>
        <v/>
      </c>
      <c r="T10" s="60" t="str">
        <f>IF('Cadastro de Insumos'!O56=FALSE,"","Adt2"&amp;IF('Cadastro de Insumos'!P56=FALSE," - ml"," - g"))</f>
        <v/>
      </c>
      <c r="U10" s="60" t="str">
        <f>IF('Cadastro de Insumos'!O60=FALSE,"","Adt3"&amp;IF('Cadastro de Insumos'!P60=FALSE," - ml"," - g"))</f>
        <v/>
      </c>
      <c r="V10" s="61" t="str">
        <f>IF('Cadastro de Insumos'!O64=FALSE,"","Adt4"&amp;IF('Cadastro de Insumos'!P64=FALSE," - ml"," - g"))</f>
        <v/>
      </c>
      <c r="W10" s="59" t="str">
        <f>IF('Cadastro de Insumos'!O70=FALSE,"","Adc1"&amp;IF('Cadastro de Insumos'!P70=FALSE," - ml"," - g"))</f>
        <v/>
      </c>
      <c r="X10" s="60" t="str">
        <f>IF('Cadastro de Insumos'!O74=FALSE,"","Adc2"&amp;IF('Cadastro de Insumos'!P74=FALSE," - ml"," - g"))</f>
        <v/>
      </c>
      <c r="Y10" s="60" t="str">
        <f>IF('Cadastro de Insumos'!O78=FALSE,"","Adc4"&amp;IF('Cadastro de Insumos'!P78=FALSE," - ml"," - g"))</f>
        <v/>
      </c>
      <c r="Z10" s="61" t="str">
        <f>IF('Cadastro de Insumos'!O82=FALSE,"","Adc4"&amp;IF('Cadastro de Insumos'!P82=FALSE," - ml"," - g"))</f>
        <v/>
      </c>
    </row>
    <row r="11" spans="2:26" ht="16.5" thickBot="1">
      <c r="B11" s="62">
        <f>'Escopo de Estudo'!J30</f>
        <v>0.51</v>
      </c>
      <c r="C11" s="27">
        <f>1*'Cadastro de Insumos'!$P$6</f>
        <v>1</v>
      </c>
      <c r="D11" s="27">
        <f>1*'Cadastro de Insumos'!$P$10</f>
        <v>0</v>
      </c>
      <c r="E11" s="27">
        <f>1*'Cadastro de Insumos'!$P$14</f>
        <v>0</v>
      </c>
      <c r="F11" s="72">
        <f>(B11*(1+$B$6)-1)*'Cadastro de Insumos'!$P$20</f>
        <v>1.4419999999999999</v>
      </c>
      <c r="G11" s="72">
        <f>(B11*(1+$B$6)-1)*'Cadastro de Insumos'!$P$24</f>
        <v>0</v>
      </c>
      <c r="H11" s="72">
        <f>(B11*(1+$B$6)-1)*'Cadastro de Insumos'!$P$28</f>
        <v>0</v>
      </c>
      <c r="I11" s="72">
        <f>($B$6-(SUM(F11:H11)))*'Cadastro de Insumos'!$P$34</f>
        <v>2.1347999999999998</v>
      </c>
      <c r="J11" s="72">
        <f>($B$6-(SUM(F11:H11)))*'Cadastro de Insumos'!$P$38</f>
        <v>1.4232</v>
      </c>
      <c r="K11" s="72">
        <f>($B$6-(SUM(F11:H11)))*'Cadastro de Insumos'!$P$42</f>
        <v>0</v>
      </c>
      <c r="L11" s="72">
        <f>($B$6-(SUM(F11:H11)))*'Cadastro de Insumos'!$P$46</f>
        <v>0</v>
      </c>
      <c r="M11" s="54">
        <f>IF(C11=0,"",('Escopo de Estudo'!$D$30/SUM('Ficha de Dosagem - C'!I11:L11))*C11)</f>
        <v>5.6211354693648117</v>
      </c>
      <c r="N11" s="72" t="str">
        <f>IF(N10="","",('Escopo de Estudo'!$D$30/SUM('Ficha de Dosagem - C'!I11:L11))*D11)</f>
        <v/>
      </c>
      <c r="O11" s="55" t="str">
        <f>IF(O10="","",('Escopo de Estudo'!$D$30/SUM('Ficha de Dosagem - C'!I11:L11))*E11)</f>
        <v/>
      </c>
      <c r="P11" s="54">
        <f>IF(F11=0,"",SUM(M11:O11)*F11)</f>
        <v>8.1056773468240575</v>
      </c>
      <c r="Q11" s="72" t="str">
        <f>IF($Q$10="","",SUM(M11:O11)*G11)</f>
        <v/>
      </c>
      <c r="R11" s="55" t="str">
        <f>IF($R$10="","",SUM(M11:O11)*H11)</f>
        <v/>
      </c>
      <c r="S11" s="54" t="str">
        <f>IF('Cadastro de Insumos'!$O$52=FALSE,"",IF('Cadastro de Insumos'!$P$52=FALSE,(('Cadastro de Insumos'!$E$54*M11)/'Cadastro de Insumos'!$L$54)*1000,(('Cadastro de Insumos'!$E$54*M11)*1000)))</f>
        <v/>
      </c>
      <c r="T11" s="72" t="str">
        <f>IF('Cadastro de Insumos'!$O$56=FALSE,"",IF('Cadastro de Insumos'!$P$56=FALSE,(('Cadastro de Insumos'!$E$58*M11)/'Cadastro de Insumos'!$L$58)*1000,(('Cadastro de Insumos'!$E$58*M11)*1000)))</f>
        <v/>
      </c>
      <c r="U11" s="72" t="str">
        <f>IF('Cadastro de Insumos'!$O$60=FALSE,"",IF('Cadastro de Insumos'!$P$60=FALSE,(('Cadastro de Insumos'!$E$62*M11)/'Cadastro de Insumos'!$L$62)*1000,(('Cadastro de Insumos'!$E$62*M11)*1000)))</f>
        <v/>
      </c>
      <c r="V11" s="55" t="str">
        <f>IF('Cadastro de Insumos'!$O$64=FALSE,"",IF('Cadastro de Insumos'!$P$64=FALSE,(('Cadastro de Insumos'!$E$66*M11)/'Cadastro de Insumos'!$L$66)*1000,(('Cadastro de Insumos'!$E$66*M11)*1000)))</f>
        <v/>
      </c>
      <c r="W11" s="54" t="str">
        <f>IF('Cadastro de Insumos'!$O$70=FALSE,"",IF('Cadastro de Insumos'!$P$70=FALSE,(('Cadastro de Insumos'!$E$72*M11)/'Cadastro de Insumos'!$L$72)*1000,(('Cadastro de Insumos'!$E$72*M11)*1000)))</f>
        <v/>
      </c>
      <c r="X11" s="72" t="str">
        <f>IF('Cadastro de Insumos'!$O$74=FALSE,"",IF('Cadastro de Insumos'!$P$74=FALSE,(('Cadastro de Insumos'!$E$76*M11)/'Cadastro de Insumos'!$L$76)*1000,(('Cadastro de Insumos'!$E$76*M11)*1000)))</f>
        <v/>
      </c>
      <c r="Y11" s="72" t="str">
        <f>IF('Cadastro de Insumos'!$O$78=FALSE,"",IF('Cadastro de Insumos'!$P$78=FALSE,(('Cadastro de Insumos'!$E$80*M11)/'Cadastro de Insumos'!$L$80)*1000,(('Cadastro de Insumos'!$E$80*M11)*1000)))</f>
        <v/>
      </c>
      <c r="Z11" s="55" t="str">
        <f>IF('Cadastro de Insumos'!$O$82=FALSE,"",IF('Cadastro de Insumos'!$P$82=FALSE,(('Cadastro de Insumos'!$E$84*M11)/'Cadastro de Insumos'!$L$84)*1000,(('Cadastro de Insumos'!$E$84*M11)*1000)))</f>
        <v/>
      </c>
    </row>
    <row r="12" spans="2:26">
      <c r="B12" s="252">
        <f>B11+0.01</f>
        <v>0.52</v>
      </c>
      <c r="C12" s="50"/>
      <c r="D12" s="50"/>
      <c r="E12" s="50"/>
      <c r="F12" s="63"/>
      <c r="G12" s="63"/>
      <c r="H12" s="63"/>
      <c r="I12" s="63"/>
      <c r="J12" s="63"/>
      <c r="K12" s="63"/>
      <c r="L12" s="63"/>
      <c r="M12" s="64" t="str">
        <f>IF(M13="","","+"&amp;ROUND(M13-M11,3))</f>
        <v>+0,067</v>
      </c>
      <c r="N12" s="65" t="str">
        <f>IF(N13="","","+"&amp;ROUND(N13-N11,3))</f>
        <v/>
      </c>
      <c r="O12" s="66" t="str">
        <f>IF(O13="","","+"&amp;ROUND(O13-O11,3))</f>
        <v/>
      </c>
      <c r="P12" s="64" t="str">
        <f t="shared" ref="P12:Z12" si="0">IF(P13="","","+"&amp;ROUND(P13-P11,3))</f>
        <v>+0,336</v>
      </c>
      <c r="Q12" s="65" t="str">
        <f t="shared" si="0"/>
        <v/>
      </c>
      <c r="R12" s="67" t="str">
        <f t="shared" si="0"/>
        <v/>
      </c>
      <c r="S12" s="64" t="str">
        <f t="shared" si="0"/>
        <v/>
      </c>
      <c r="T12" s="65" t="str">
        <f t="shared" si="0"/>
        <v/>
      </c>
      <c r="U12" s="65" t="str">
        <f t="shared" si="0"/>
        <v/>
      </c>
      <c r="V12" s="67" t="str">
        <f t="shared" si="0"/>
        <v/>
      </c>
      <c r="W12" s="64" t="str">
        <f t="shared" si="0"/>
        <v/>
      </c>
      <c r="X12" s="65" t="str">
        <f t="shared" si="0"/>
        <v/>
      </c>
      <c r="Y12" s="65" t="str">
        <f t="shared" si="0"/>
        <v/>
      </c>
      <c r="Z12" s="67" t="str">
        <f t="shared" si="0"/>
        <v/>
      </c>
    </row>
    <row r="13" spans="2:26" ht="16.5" thickBot="1">
      <c r="B13" s="253"/>
      <c r="C13" s="60">
        <f>1*'Cadastro de Insumos'!$P$6</f>
        <v>1</v>
      </c>
      <c r="D13" s="60">
        <f>1*'Cadastro de Insumos'!$P$10</f>
        <v>0</v>
      </c>
      <c r="E13" s="60">
        <f>1*'Cadastro de Insumos'!$P$14</f>
        <v>0</v>
      </c>
      <c r="F13" s="57">
        <f>(B12*(1+$B$6)-1)*'Cadastro de Insumos'!$P$20</f>
        <v>1.484</v>
      </c>
      <c r="G13" s="57">
        <f>(B12*(1+$B$6)-1)*'Cadastro de Insumos'!$P$24</f>
        <v>0</v>
      </c>
      <c r="H13" s="57">
        <f>(B12*(1+$B$6)-1)*'Cadastro de Insumos'!$P$28</f>
        <v>0</v>
      </c>
      <c r="I13" s="57">
        <f>($B$6-(SUM(F13:H13)))*'Cadastro de Insumos'!$P$34</f>
        <v>2.1095999999999999</v>
      </c>
      <c r="J13" s="57">
        <f>($B$6-(SUM(F13:H13)))*'Cadastro de Insumos'!$P$38</f>
        <v>1.4064000000000001</v>
      </c>
      <c r="K13" s="57">
        <f>($B$6-(SUM(F13:H13)))*'Cadastro de Insumos'!$P$42</f>
        <v>0</v>
      </c>
      <c r="L13" s="57">
        <f>($B$6-(SUM(F13:H13)))*'Cadastro de Insumos'!$P$46</f>
        <v>0</v>
      </c>
      <c r="M13" s="56">
        <f>IF(C13=0,"",('Escopo de Estudo'!$D$30/SUM('Ficha de Dosagem - C'!I13:L13))*C13)</f>
        <v>5.6882821387940838</v>
      </c>
      <c r="N13" s="57" t="str">
        <f>IF(N10="","",('Escopo de Estudo'!$D$30/SUM('Ficha de Dosagem - C'!I13:L13))*D13)</f>
        <v/>
      </c>
      <c r="O13" s="58" t="str">
        <f>IF(O10="","",('Escopo de Estudo'!$D$30/SUM('Ficha de Dosagem - C'!I13:L13))*E13)</f>
        <v/>
      </c>
      <c r="P13" s="56">
        <f t="shared" ref="P13:P31" si="1">IF(F13=0,"",SUM(M13:O13)*F13)</f>
        <v>8.4414106939704201</v>
      </c>
      <c r="Q13" s="72" t="str">
        <f>IF($Q$10="","",SUM(M13:O13)*G13)</f>
        <v/>
      </c>
      <c r="R13" s="55" t="str">
        <f>IF($R$10="","",SUM(M13:O13)*H13)</f>
        <v/>
      </c>
      <c r="S13" s="56" t="str">
        <f>IF('Cadastro de Insumos'!$O$52=FALSE,"",IF('Cadastro de Insumos'!$P$52=FALSE,(('Cadastro de Insumos'!$E$54*M13)/'Cadastro de Insumos'!$L$54)*1000,(('Cadastro de Insumos'!$E$54*M13)*1000)))</f>
        <v/>
      </c>
      <c r="T13" s="57" t="str">
        <f>IF('Cadastro de Insumos'!$O$56=FALSE,"",IF('Cadastro de Insumos'!$P$56=FALSE,(('Cadastro de Insumos'!$E$58*M13)/'Cadastro de Insumos'!$L$58)*1000,(('Cadastro de Insumos'!$E$58*M13)*1000)))</f>
        <v/>
      </c>
      <c r="U13" s="57" t="str">
        <f>IF('Cadastro de Insumos'!$O$60=FALSE,"",IF('Cadastro de Insumos'!$P$60=FALSE,(('Cadastro de Insumos'!$E$62*M13)/'Cadastro de Insumos'!$L$62)*1000,(('Cadastro de Insumos'!$E$62*M13)*1000)))</f>
        <v/>
      </c>
      <c r="V13" s="58" t="str">
        <f>IF('Cadastro de Insumos'!$O$64=FALSE,"",IF('Cadastro de Insumos'!$P$64=FALSE,(('Cadastro de Insumos'!$E$66*M13)/'Cadastro de Insumos'!$L$66)*1000,(('Cadastro de Insumos'!$E$66*M13)*1000)))</f>
        <v/>
      </c>
      <c r="W13" s="56" t="str">
        <f>IF('Cadastro de Insumos'!$O$70=FALSE,"",IF('Cadastro de Insumos'!$P$70=FALSE,(('Cadastro de Insumos'!$E$72*M13)/'Cadastro de Insumos'!$L$72)*1000,(('Cadastro de Insumos'!$E$72*M13)*1000)))</f>
        <v/>
      </c>
      <c r="X13" s="57" t="str">
        <f>IF('Cadastro de Insumos'!$O$74=FALSE,"",IF('Cadastro de Insumos'!$P$74=FALSE,(('Cadastro de Insumos'!$E$76*M13)/'Cadastro de Insumos'!$L$76)*1000,(('Cadastro de Insumos'!$E$76*M13)*1000)))</f>
        <v/>
      </c>
      <c r="Y13" s="57" t="str">
        <f>IF('Cadastro de Insumos'!$O$78=FALSE,"",IF('Cadastro de Insumos'!$P$78=FALSE,(('Cadastro de Insumos'!$E$80*M13)/'Cadastro de Insumos'!$L$80)*1000,(('Cadastro de Insumos'!$E$80*M13)*1000)))</f>
        <v/>
      </c>
      <c r="Z13" s="58" t="str">
        <f>IF('Cadastro de Insumos'!$O$82=FALSE,"",IF('Cadastro de Insumos'!$P$82=FALSE,(('Cadastro de Insumos'!$E$84*M13)/'Cadastro de Insumos'!$L$84)*1000,(('Cadastro de Insumos'!$E$84*M13)*1000)))</f>
        <v/>
      </c>
    </row>
    <row r="14" spans="2:26">
      <c r="B14" s="252">
        <f>B12+0.01</f>
        <v>0.53</v>
      </c>
      <c r="C14" s="50"/>
      <c r="D14" s="50"/>
      <c r="E14" s="50"/>
      <c r="F14" s="63"/>
      <c r="G14" s="63"/>
      <c r="H14" s="63"/>
      <c r="I14" s="63"/>
      <c r="J14" s="63"/>
      <c r="K14" s="63"/>
      <c r="L14" s="63"/>
      <c r="M14" s="64" t="str">
        <f>IF(M15="","","+"&amp;ROUND(M15-M13,3))</f>
        <v>+0,069</v>
      </c>
      <c r="N14" s="65" t="str">
        <f>IF(N15="","","+"&amp;ROUND(N15-N13,3))</f>
        <v/>
      </c>
      <c r="O14" s="66" t="str">
        <f>IF(O15="","","+"&amp;ROUND(O15-O13,3))</f>
        <v/>
      </c>
      <c r="P14" s="64" t="str">
        <f t="shared" ref="P14:Z14" si="2">IF(P15="","","+"&amp;ROUND(P15-P13,3))</f>
        <v>+0,344</v>
      </c>
      <c r="Q14" s="65" t="str">
        <f t="shared" si="2"/>
        <v/>
      </c>
      <c r="R14" s="67" t="str">
        <f t="shared" si="2"/>
        <v/>
      </c>
      <c r="S14" s="64" t="str">
        <f t="shared" si="2"/>
        <v/>
      </c>
      <c r="T14" s="65" t="str">
        <f t="shared" si="2"/>
        <v/>
      </c>
      <c r="U14" s="65" t="str">
        <f t="shared" si="2"/>
        <v/>
      </c>
      <c r="V14" s="67" t="str">
        <f t="shared" si="2"/>
        <v/>
      </c>
      <c r="W14" s="64" t="str">
        <f t="shared" si="2"/>
        <v/>
      </c>
      <c r="X14" s="65" t="str">
        <f t="shared" si="2"/>
        <v/>
      </c>
      <c r="Y14" s="65" t="str">
        <f t="shared" si="2"/>
        <v/>
      </c>
      <c r="Z14" s="67" t="str">
        <f t="shared" si="2"/>
        <v/>
      </c>
    </row>
    <row r="15" spans="2:26" ht="16.5" thickBot="1">
      <c r="B15" s="253"/>
      <c r="C15" s="60">
        <f>1*'Cadastro de Insumos'!$P$6</f>
        <v>1</v>
      </c>
      <c r="D15" s="60">
        <f>1*'Cadastro de Insumos'!$P$10</f>
        <v>0</v>
      </c>
      <c r="E15" s="60">
        <f>1*'Cadastro de Insumos'!$P$14</f>
        <v>0</v>
      </c>
      <c r="F15" s="57">
        <f>(B14*(1+$B$6)-1)*'Cadastro de Insumos'!$P$20</f>
        <v>1.526</v>
      </c>
      <c r="G15" s="57">
        <f>(B14*(1+$B$6)-1)*'Cadastro de Insumos'!$P$24</f>
        <v>0</v>
      </c>
      <c r="H15" s="57">
        <f>(B14*(1+$B$6)-1)*'Cadastro de Insumos'!$P$28</f>
        <v>0</v>
      </c>
      <c r="I15" s="57">
        <f>($B$6-(SUM(F15:H15)))*'Cadastro de Insumos'!$P$34</f>
        <v>2.0844</v>
      </c>
      <c r="J15" s="57">
        <f>($B$6-(SUM(F15:H15)))*'Cadastro de Insumos'!$P$38</f>
        <v>1.3896000000000002</v>
      </c>
      <c r="K15" s="57">
        <f>($B$6-(SUM(F15:H15)))*'Cadastro de Insumos'!$P$42</f>
        <v>0</v>
      </c>
      <c r="L15" s="57">
        <f>($B$6-(SUM(F15:H15)))*'Cadastro de Insumos'!$P$46</f>
        <v>0</v>
      </c>
      <c r="M15" s="56">
        <f>IF(C15=0,"",('Escopo de Estudo'!$D$30/SUM('Ficha de Dosagem - C'!I15:L15))*C15)</f>
        <v>5.7570523891767413</v>
      </c>
      <c r="N15" s="57" t="str">
        <f>IF(N11="","",('Escopo de Estudo'!$D$30/SUM('Ficha de Dosagem - C'!I15:L15))*D15)</f>
        <v/>
      </c>
      <c r="O15" s="58" t="str">
        <f>IF(O10="","",('Escopo de Estudo'!$D$30/SUM('Ficha de Dosagem - C'!I15:L15))*E15)</f>
        <v/>
      </c>
      <c r="P15" s="56">
        <f t="shared" si="1"/>
        <v>8.7852619458837076</v>
      </c>
      <c r="Q15" s="72" t="str">
        <f>IF($Q$10="","",SUM(M15:O15)*G15)</f>
        <v/>
      </c>
      <c r="R15" s="55" t="str">
        <f>IF($R$10="","",SUM(M15:O15)*H15)</f>
        <v/>
      </c>
      <c r="S15" s="56" t="str">
        <f>IF('Cadastro de Insumos'!$O$52=FALSE,"",IF('Cadastro de Insumos'!$P$52=FALSE,(('Cadastro de Insumos'!$E$54*M15)/'Cadastro de Insumos'!$L$54)*1000,(('Cadastro de Insumos'!$E$54*M15)*1000)))</f>
        <v/>
      </c>
      <c r="T15" s="57" t="str">
        <f>IF('Cadastro de Insumos'!$O$56=FALSE,"",IF('Cadastro de Insumos'!$P$56=FALSE,(('Cadastro de Insumos'!$E$58*M15)/'Cadastro de Insumos'!$L$58)*1000,(('Cadastro de Insumos'!$E$58*M15)*1000)))</f>
        <v/>
      </c>
      <c r="U15" s="57" t="str">
        <f>IF('Cadastro de Insumos'!$O$60=FALSE,"",IF('Cadastro de Insumos'!$P$60=FALSE,(('Cadastro de Insumos'!$E$62*M15)/'Cadastro de Insumos'!$L$62)*1000,(('Cadastro de Insumos'!$E$62*M15)*1000)))</f>
        <v/>
      </c>
      <c r="V15" s="58" t="str">
        <f>IF('Cadastro de Insumos'!$O$64=FALSE,"",IF('Cadastro de Insumos'!$P$64=FALSE,(('Cadastro de Insumos'!$E$66*M15)/'Cadastro de Insumos'!$L$66)*1000,(('Cadastro de Insumos'!$E$66*M15)*1000)))</f>
        <v/>
      </c>
      <c r="W15" s="56" t="str">
        <f>IF('Cadastro de Insumos'!$O$70=FALSE,"",IF('Cadastro de Insumos'!$P$70=FALSE,(('Cadastro de Insumos'!$E$72*M15)/'Cadastro de Insumos'!$L$72)*1000,(('Cadastro de Insumos'!$E$72*M15)*1000)))</f>
        <v/>
      </c>
      <c r="X15" s="57" t="str">
        <f>IF('Cadastro de Insumos'!$O$74=FALSE,"",IF('Cadastro de Insumos'!$P$74=FALSE,(('Cadastro de Insumos'!$E$76*M15)/'Cadastro de Insumos'!$L$76)*1000,(('Cadastro de Insumos'!$E$76*M15)*1000)))</f>
        <v/>
      </c>
      <c r="Y15" s="57" t="str">
        <f>IF('Cadastro de Insumos'!$O$78=FALSE,"",IF('Cadastro de Insumos'!$P$78=FALSE,(('Cadastro de Insumos'!$E$80*M15)/'Cadastro de Insumos'!$L$80)*1000,(('Cadastro de Insumos'!$E$80*M15)*1000)))</f>
        <v/>
      </c>
      <c r="Z15" s="58" t="str">
        <f>IF('Cadastro de Insumos'!$O$82=FALSE,"",IF('Cadastro de Insumos'!$P$82=FALSE,(('Cadastro de Insumos'!$E$84*M15)/'Cadastro de Insumos'!$L$84)*1000,(('Cadastro de Insumos'!$E$84*M15)*1000)))</f>
        <v/>
      </c>
    </row>
    <row r="16" spans="2:26">
      <c r="B16" s="252">
        <f>B14+0.01</f>
        <v>0.54</v>
      </c>
      <c r="C16" s="50"/>
      <c r="D16" s="50"/>
      <c r="E16" s="50"/>
      <c r="F16" s="63"/>
      <c r="G16" s="63"/>
      <c r="H16" s="63"/>
      <c r="I16" s="63"/>
      <c r="J16" s="63"/>
      <c r="K16" s="63"/>
      <c r="L16" s="63"/>
      <c r="M16" s="64" t="str">
        <f>IF(M17="","","+"&amp;ROUND(M17-M15,3))</f>
        <v>+0,07</v>
      </c>
      <c r="N16" s="65" t="str">
        <f>IF(N17="","","+"&amp;ROUND(N17-N15,3))</f>
        <v/>
      </c>
      <c r="O16" s="66" t="str">
        <f>IF(O17="","","+"&amp;ROUND(O17-O15,3))</f>
        <v/>
      </c>
      <c r="P16" s="64" t="str">
        <f t="shared" ref="P16:Z16" si="3">IF(P17="","","+"&amp;ROUND(P17-P15,3))</f>
        <v>+0,352</v>
      </c>
      <c r="Q16" s="65" t="str">
        <f t="shared" si="3"/>
        <v/>
      </c>
      <c r="R16" s="67" t="str">
        <f t="shared" si="3"/>
        <v/>
      </c>
      <c r="S16" s="64" t="str">
        <f t="shared" si="3"/>
        <v/>
      </c>
      <c r="T16" s="65" t="str">
        <f t="shared" si="3"/>
        <v/>
      </c>
      <c r="U16" s="65" t="str">
        <f t="shared" si="3"/>
        <v/>
      </c>
      <c r="V16" s="67" t="str">
        <f t="shared" si="3"/>
        <v/>
      </c>
      <c r="W16" s="64" t="str">
        <f t="shared" si="3"/>
        <v/>
      </c>
      <c r="X16" s="65" t="str">
        <f t="shared" si="3"/>
        <v/>
      </c>
      <c r="Y16" s="65" t="str">
        <f t="shared" si="3"/>
        <v/>
      </c>
      <c r="Z16" s="67" t="str">
        <f t="shared" si="3"/>
        <v/>
      </c>
    </row>
    <row r="17" spans="2:26" ht="16.5" thickBot="1">
      <c r="B17" s="253"/>
      <c r="C17" s="60">
        <f>1*'Cadastro de Insumos'!$P$6</f>
        <v>1</v>
      </c>
      <c r="D17" s="60">
        <f>1*'Cadastro de Insumos'!$P$10</f>
        <v>0</v>
      </c>
      <c r="E17" s="60">
        <f>1*'Cadastro de Insumos'!$P$14</f>
        <v>0</v>
      </c>
      <c r="F17" s="57">
        <f>(B16*(1+$B$6)-1)*'Cadastro de Insumos'!$P$20</f>
        <v>1.5680000000000001</v>
      </c>
      <c r="G17" s="57">
        <f>(B16*(1+$B$6)-1)*'Cadastro de Insumos'!$P$24</f>
        <v>0</v>
      </c>
      <c r="H17" s="57">
        <f>(B16*(1+$B$6)-1)*'Cadastro de Insumos'!$P$28</f>
        <v>0</v>
      </c>
      <c r="I17" s="57">
        <f>($B$6-(SUM(F17:H17)))*'Cadastro de Insumos'!$P$34</f>
        <v>2.0591999999999997</v>
      </c>
      <c r="J17" s="57">
        <f>($B$6-(SUM(F17:H17)))*'Cadastro de Insumos'!$P$38</f>
        <v>1.3728</v>
      </c>
      <c r="K17" s="57">
        <f>($B$6-(SUM(F17:H17)))*'Cadastro de Insumos'!$P$42</f>
        <v>0</v>
      </c>
      <c r="L17" s="57">
        <f>($B$6-(SUM(F17:H17)))*'Cadastro de Insumos'!$P$46</f>
        <v>0</v>
      </c>
      <c r="M17" s="56">
        <f>IF(C17=0,"",('Escopo de Estudo'!$D$30/SUM('Ficha de Dosagem - C'!I17:L17))*C17)</f>
        <v>5.8275058275058287</v>
      </c>
      <c r="N17" s="57" t="str">
        <f>IF(N10="","",('Escopo de Estudo'!$D$30/SUM('Ficha de Dosagem - C'!I17:L17))*D17)</f>
        <v/>
      </c>
      <c r="O17" s="58" t="str">
        <f>IF(O10="","",('Escopo de Estudo'!$D$30/SUM('Ficha de Dosagem - C'!I17:L17))*E17)</f>
        <v/>
      </c>
      <c r="P17" s="56">
        <f t="shared" si="1"/>
        <v>9.137529137529139</v>
      </c>
      <c r="Q17" s="72" t="str">
        <f>IF($Q$10="","",SUM(M17:O17)*G17)</f>
        <v/>
      </c>
      <c r="R17" s="55" t="str">
        <f>IF($R$10="","",SUM(M17:O17)*H17)</f>
        <v/>
      </c>
      <c r="S17" s="56" t="str">
        <f>IF('Cadastro de Insumos'!$O$52=FALSE,"",IF('Cadastro de Insumos'!$P$52=FALSE,(('Cadastro de Insumos'!$E$54*M17)/'Cadastro de Insumos'!$L$54)*1000,(('Cadastro de Insumos'!$E$54*M17)*1000)))</f>
        <v/>
      </c>
      <c r="T17" s="57" t="str">
        <f>IF('Cadastro de Insumos'!$O$56=FALSE,"",IF('Cadastro de Insumos'!$P$56=FALSE,(('Cadastro de Insumos'!$E$58*M17)/'Cadastro de Insumos'!$L$58)*1000,(('Cadastro de Insumos'!$E$58*M17)*1000)))</f>
        <v/>
      </c>
      <c r="U17" s="57" t="str">
        <f>IF('Cadastro de Insumos'!$O$60=FALSE,"",IF('Cadastro de Insumos'!$P$60=FALSE,(('Cadastro de Insumos'!$E$62*M17)/'Cadastro de Insumos'!$L$62)*1000,(('Cadastro de Insumos'!$E$62*M17)*1000)))</f>
        <v/>
      </c>
      <c r="V17" s="58" t="str">
        <f>IF('Cadastro de Insumos'!$O$64=FALSE,"",IF('Cadastro de Insumos'!$P$64=FALSE,(('Cadastro de Insumos'!$E$66*M17)/'Cadastro de Insumos'!$L$66)*1000,(('Cadastro de Insumos'!$E$66*M17)*1000)))</f>
        <v/>
      </c>
      <c r="W17" s="56" t="str">
        <f>IF('Cadastro de Insumos'!$O$70=FALSE,"",IF('Cadastro de Insumos'!$P$70=FALSE,(('Cadastro de Insumos'!$E$72*M17)/'Cadastro de Insumos'!$L$72)*1000,(('Cadastro de Insumos'!$E$72*M17)*1000)))</f>
        <v/>
      </c>
      <c r="X17" s="57" t="str">
        <f>IF('Cadastro de Insumos'!$O$74=FALSE,"",IF('Cadastro de Insumos'!$P$74=FALSE,(('Cadastro de Insumos'!$E$76*M17)/'Cadastro de Insumos'!$L$76)*1000,(('Cadastro de Insumos'!$E$76*M17)*1000)))</f>
        <v/>
      </c>
      <c r="Y17" s="57" t="str">
        <f>IF('Cadastro de Insumos'!$O$78=FALSE,"",IF('Cadastro de Insumos'!$P$78=FALSE,(('Cadastro de Insumos'!$E$80*M17)/'Cadastro de Insumos'!$L$80)*1000,(('Cadastro de Insumos'!$E$80*M17)*1000)))</f>
        <v/>
      </c>
      <c r="Z17" s="58" t="str">
        <f>IF('Cadastro de Insumos'!$O$82=FALSE,"",IF('Cadastro de Insumos'!$P$82=FALSE,(('Cadastro de Insumos'!$E$84*M17)/'Cadastro de Insumos'!$L$84)*1000,(('Cadastro de Insumos'!$E$84*M17)*1000)))</f>
        <v/>
      </c>
    </row>
    <row r="18" spans="2:26">
      <c r="B18" s="252">
        <f>B16+0.01</f>
        <v>0.55000000000000004</v>
      </c>
      <c r="C18" s="50"/>
      <c r="D18" s="50"/>
      <c r="E18" s="50"/>
      <c r="F18" s="63"/>
      <c r="G18" s="63"/>
      <c r="H18" s="63"/>
      <c r="I18" s="63"/>
      <c r="J18" s="63"/>
      <c r="K18" s="63"/>
      <c r="L18" s="63"/>
      <c r="M18" s="64" t="str">
        <f>IF(M19="","","+"&amp;ROUND(M19-M17,3))</f>
        <v>+0,072</v>
      </c>
      <c r="N18" s="65" t="str">
        <f>IF(N19="","","+"&amp;ROUND(N19-N17,3))</f>
        <v/>
      </c>
      <c r="O18" s="66" t="str">
        <f>IF(O19="","","+"&amp;ROUND(O19-O17,3))</f>
        <v/>
      </c>
      <c r="P18" s="64" t="str">
        <f t="shared" ref="P18:Z18" si="4">IF(P19="","","+"&amp;ROUND(P19-P17,3))</f>
        <v>+0,361</v>
      </c>
      <c r="Q18" s="65" t="str">
        <f t="shared" si="4"/>
        <v/>
      </c>
      <c r="R18" s="67" t="str">
        <f t="shared" si="4"/>
        <v/>
      </c>
      <c r="S18" s="64" t="str">
        <f t="shared" si="4"/>
        <v/>
      </c>
      <c r="T18" s="65" t="str">
        <f t="shared" si="4"/>
        <v/>
      </c>
      <c r="U18" s="65" t="str">
        <f t="shared" si="4"/>
        <v/>
      </c>
      <c r="V18" s="67" t="str">
        <f t="shared" si="4"/>
        <v/>
      </c>
      <c r="W18" s="64" t="str">
        <f t="shared" si="4"/>
        <v/>
      </c>
      <c r="X18" s="65" t="str">
        <f t="shared" si="4"/>
        <v/>
      </c>
      <c r="Y18" s="65" t="str">
        <f t="shared" si="4"/>
        <v/>
      </c>
      <c r="Z18" s="67" t="str">
        <f t="shared" si="4"/>
        <v/>
      </c>
    </row>
    <row r="19" spans="2:26" ht="16.5" thickBot="1">
      <c r="B19" s="253"/>
      <c r="C19" s="60">
        <f>1*'Cadastro de Insumos'!$P$6</f>
        <v>1</v>
      </c>
      <c r="D19" s="60">
        <f>1*'Cadastro de Insumos'!$P$10</f>
        <v>0</v>
      </c>
      <c r="E19" s="60">
        <f>1*'Cadastro de Insumos'!$P$14</f>
        <v>0</v>
      </c>
      <c r="F19" s="57">
        <f>(B18*(1+$B$6)-1)*'Cadastro de Insumos'!$P$20</f>
        <v>1.61</v>
      </c>
      <c r="G19" s="57">
        <f>(B18*(1+$B$6)-1)*'Cadastro de Insumos'!$P$24</f>
        <v>0</v>
      </c>
      <c r="H19" s="57">
        <f>(B18*(1+$B$6)-1)*'Cadastro de Insumos'!$P$28</f>
        <v>0</v>
      </c>
      <c r="I19" s="57">
        <f>($B$6-(SUM(F19:H19)))*'Cadastro de Insumos'!$P$34</f>
        <v>2.0339999999999998</v>
      </c>
      <c r="J19" s="57">
        <f>($B$6-(SUM(F19:H19)))*'Cadastro de Insumos'!$P$38</f>
        <v>1.3559999999999999</v>
      </c>
      <c r="K19" s="57">
        <f>($B$6-(SUM(F19:H19)))*'Cadastro de Insumos'!$P$42</f>
        <v>0</v>
      </c>
      <c r="L19" s="57">
        <f>($B$6-(SUM(F19:H19)))*'Cadastro de Insumos'!$P$46</f>
        <v>0</v>
      </c>
      <c r="M19" s="56">
        <f>IF(C19=0,"",('Escopo de Estudo'!$D$30/SUM('Ficha de Dosagem - C'!I19:L19))*C19)</f>
        <v>5.8997050147492631</v>
      </c>
      <c r="N19" s="57" t="str">
        <f>IF(N10="","",('Escopo de Estudo'!$D$30/SUM('Ficha de Dosagem - C'!I19:L19))*D19)</f>
        <v/>
      </c>
      <c r="O19" s="58" t="str">
        <f>IF(O10="","",('Escopo de Estudo'!$D$30/SUM('Ficha de Dosagem - C'!I19:L19))*E19)</f>
        <v/>
      </c>
      <c r="P19" s="56">
        <f t="shared" si="1"/>
        <v>9.4985250737463147</v>
      </c>
      <c r="Q19" s="72" t="str">
        <f>IF($Q$10="","",SUM(M19:O19)*G19)</f>
        <v/>
      </c>
      <c r="R19" s="55" t="str">
        <f>IF($R$10="","",SUM(M19:O19)*H19)</f>
        <v/>
      </c>
      <c r="S19" s="56" t="str">
        <f>IF('Cadastro de Insumos'!$O$52=FALSE,"",IF('Cadastro de Insumos'!$P$52=FALSE,(('Cadastro de Insumos'!$E$54*M19)/'Cadastro de Insumos'!$L$54)*1000,(('Cadastro de Insumos'!$E$54*M19)*1000)))</f>
        <v/>
      </c>
      <c r="T19" s="57" t="str">
        <f>IF('Cadastro de Insumos'!$O$56=FALSE,"",IF('Cadastro de Insumos'!$P$56=FALSE,(('Cadastro de Insumos'!$E$58*M19)/'Cadastro de Insumos'!$L$58)*1000,(('Cadastro de Insumos'!$E$58*M19)*1000)))</f>
        <v/>
      </c>
      <c r="U19" s="57" t="str">
        <f>IF('Cadastro de Insumos'!$O$60=FALSE,"",IF('Cadastro de Insumos'!$P$60=FALSE,(('Cadastro de Insumos'!$E$62*M19)/'Cadastro de Insumos'!$L$62)*1000,(('Cadastro de Insumos'!$E$62*M19)*1000)))</f>
        <v/>
      </c>
      <c r="V19" s="58" t="str">
        <f>IF('Cadastro de Insumos'!$O$64=FALSE,"",IF('Cadastro de Insumos'!$P$64=FALSE,(('Cadastro de Insumos'!$E$66*M19)/'Cadastro de Insumos'!$L$66)*1000,(('Cadastro de Insumos'!$E$66*M19)*1000)))</f>
        <v/>
      </c>
      <c r="W19" s="56" t="str">
        <f>IF('Cadastro de Insumos'!$O$70=FALSE,"",IF('Cadastro de Insumos'!$P$70=FALSE,(('Cadastro de Insumos'!$E$72*M19)/'Cadastro de Insumos'!$L$72)*1000,(('Cadastro de Insumos'!$E$72*M19)*1000)))</f>
        <v/>
      </c>
      <c r="X19" s="57" t="str">
        <f>IF('Cadastro de Insumos'!$O$74=FALSE,"",IF('Cadastro de Insumos'!$P$74=FALSE,(('Cadastro de Insumos'!$E$76*M19)/'Cadastro de Insumos'!$L$76)*1000,(('Cadastro de Insumos'!$E$76*M19)*1000)))</f>
        <v/>
      </c>
      <c r="Y19" s="57" t="str">
        <f>IF('Cadastro de Insumos'!$O$78=FALSE,"",IF('Cadastro de Insumos'!$P$78=FALSE,(('Cadastro de Insumos'!$E$80*M19)/'Cadastro de Insumos'!$L$80)*1000,(('Cadastro de Insumos'!$E$80*M19)*1000)))</f>
        <v/>
      </c>
      <c r="Z19" s="58" t="str">
        <f>IF('Cadastro de Insumos'!$O$82=FALSE,"",IF('Cadastro de Insumos'!$P$82=FALSE,(('Cadastro de Insumos'!$E$84*M19)/'Cadastro de Insumos'!$L$84)*1000,(('Cadastro de Insumos'!$E$84*M19)*1000)))</f>
        <v/>
      </c>
    </row>
    <row r="20" spans="2:26">
      <c r="B20" s="252">
        <f>B18+0.01</f>
        <v>0.56000000000000005</v>
      </c>
      <c r="C20" s="50"/>
      <c r="D20" s="50"/>
      <c r="E20" s="50"/>
      <c r="F20" s="63"/>
      <c r="G20" s="63"/>
      <c r="H20" s="63"/>
      <c r="I20" s="63"/>
      <c r="J20" s="63"/>
      <c r="K20" s="63"/>
      <c r="L20" s="63"/>
      <c r="M20" s="64" t="str">
        <f>IF(M21="","","+"&amp;ROUND(M21-M19,3))</f>
        <v>+0,074</v>
      </c>
      <c r="N20" s="65" t="str">
        <f>IF(N21="","","+"&amp;ROUND(N21-N19,3))</f>
        <v/>
      </c>
      <c r="O20" s="66" t="str">
        <f>IF(O21="","","+"&amp;ROUND(O21-O19,3))</f>
        <v/>
      </c>
      <c r="P20" s="64" t="str">
        <f t="shared" ref="P20:Z20" si="5">IF(P21="","","+"&amp;ROUND(P21-P19,3))</f>
        <v>+0,37</v>
      </c>
      <c r="Q20" s="65" t="str">
        <f t="shared" si="5"/>
        <v/>
      </c>
      <c r="R20" s="67" t="str">
        <f t="shared" si="5"/>
        <v/>
      </c>
      <c r="S20" s="64" t="str">
        <f t="shared" si="5"/>
        <v/>
      </c>
      <c r="T20" s="65" t="str">
        <f t="shared" si="5"/>
        <v/>
      </c>
      <c r="U20" s="65" t="str">
        <f t="shared" si="5"/>
        <v/>
      </c>
      <c r="V20" s="67" t="str">
        <f t="shared" si="5"/>
        <v/>
      </c>
      <c r="W20" s="64" t="str">
        <f t="shared" si="5"/>
        <v/>
      </c>
      <c r="X20" s="65" t="str">
        <f t="shared" si="5"/>
        <v/>
      </c>
      <c r="Y20" s="65" t="str">
        <f t="shared" si="5"/>
        <v/>
      </c>
      <c r="Z20" s="67" t="str">
        <f t="shared" si="5"/>
        <v/>
      </c>
    </row>
    <row r="21" spans="2:26" ht="16.5" thickBot="1">
      <c r="B21" s="253"/>
      <c r="C21" s="60">
        <f>1*'Cadastro de Insumos'!$P$6</f>
        <v>1</v>
      </c>
      <c r="D21" s="60">
        <f>1*'Cadastro de Insumos'!$P$10</f>
        <v>0</v>
      </c>
      <c r="E21" s="60">
        <f>1*'Cadastro de Insumos'!$P$14</f>
        <v>0</v>
      </c>
      <c r="F21" s="57">
        <f>(B20*(1+$B$6)-1)*'Cadastro de Insumos'!$P$20</f>
        <v>1.6520000000000001</v>
      </c>
      <c r="G21" s="57">
        <f>(B20*(1+$B$6)-1)*'Cadastro de Insumos'!$P$24</f>
        <v>0</v>
      </c>
      <c r="H21" s="57">
        <f>(B20*(1+$B$6)-1)*'Cadastro de Insumos'!$P$28</f>
        <v>0</v>
      </c>
      <c r="I21" s="57">
        <f>($B$6-(SUM(F21:H21)))*'Cadastro de Insumos'!$P$34</f>
        <v>2.0087999999999999</v>
      </c>
      <c r="J21" s="57">
        <f>($B$6-(SUM(F21:H21)))*'Cadastro de Insumos'!$P$38</f>
        <v>1.3391999999999999</v>
      </c>
      <c r="K21" s="57">
        <f>($B$6-(SUM(F21:H21)))*'Cadastro de Insumos'!$P$42</f>
        <v>0</v>
      </c>
      <c r="L21" s="57">
        <f>($B$6-(SUM(F21:H21)))*'Cadastro de Insumos'!$P$46</f>
        <v>0</v>
      </c>
      <c r="M21" s="56">
        <f>IF(C21=0,"",('Escopo de Estudo'!$D$30/SUM('Ficha de Dosagem - C'!I21:L21))*C21)</f>
        <v>5.9737156511350058</v>
      </c>
      <c r="N21" s="57" t="str">
        <f>IF(N10="","",('Escopo de Estudo'!$D$30/SUM('Ficha de Dosagem - C'!I21:L21))*D21)</f>
        <v/>
      </c>
      <c r="O21" s="58" t="str">
        <f>IF(O10="","",('Escopo de Estudo'!$D$30/SUM('Ficha de Dosagem - C'!I21:L21))*E21)</f>
        <v/>
      </c>
      <c r="P21" s="56">
        <f t="shared" si="1"/>
        <v>9.8685782556750308</v>
      </c>
      <c r="Q21" s="72" t="str">
        <f>IF($Q$10="","",SUM(M21:O21)*G21)</f>
        <v/>
      </c>
      <c r="R21" s="55" t="str">
        <f>IF($R$10="","",SUM(M21:O21)*H21)</f>
        <v/>
      </c>
      <c r="S21" s="56" t="str">
        <f>IF('Cadastro de Insumos'!$O$52=FALSE,"",IF('Cadastro de Insumos'!$P$52=FALSE,(('Cadastro de Insumos'!$E$54*M21)/'Cadastro de Insumos'!$L$54)*1000,(('Cadastro de Insumos'!$E$54*M21)*1000)))</f>
        <v/>
      </c>
      <c r="T21" s="57" t="str">
        <f>IF('Cadastro de Insumos'!$O$56=FALSE,"",IF('Cadastro de Insumos'!$P$56=FALSE,(('Cadastro de Insumos'!$E$58*M21)/'Cadastro de Insumos'!$L$58)*1000,(('Cadastro de Insumos'!$E$58*M21)*1000)))</f>
        <v/>
      </c>
      <c r="U21" s="57" t="str">
        <f>IF('Cadastro de Insumos'!$O$60=FALSE,"",IF('Cadastro de Insumos'!$P$60=FALSE,(('Cadastro de Insumos'!$E$62*M21)/'Cadastro de Insumos'!$L$62)*1000,(('Cadastro de Insumos'!$E$62*M21)*1000)))</f>
        <v/>
      </c>
      <c r="V21" s="58" t="str">
        <f>IF('Cadastro de Insumos'!$O$64=FALSE,"",IF('Cadastro de Insumos'!$P$64=FALSE,(('Cadastro de Insumos'!$E$66*M21)/'Cadastro de Insumos'!$L$66)*1000,(('Cadastro de Insumos'!$E$66*M21)*1000)))</f>
        <v/>
      </c>
      <c r="W21" s="56" t="str">
        <f>IF('Cadastro de Insumos'!$O$70=FALSE,"",IF('Cadastro de Insumos'!$P$70=FALSE,(('Cadastro de Insumos'!$E$72*M21)/'Cadastro de Insumos'!$L$72)*1000,(('Cadastro de Insumos'!$E$72*M21)*1000)))</f>
        <v/>
      </c>
      <c r="X21" s="57" t="str">
        <f>IF('Cadastro de Insumos'!$O$74=FALSE,"",IF('Cadastro de Insumos'!$P$74=FALSE,(('Cadastro de Insumos'!$E$76*M21)/'Cadastro de Insumos'!$L$76)*1000,(('Cadastro de Insumos'!$E$76*M21)*1000)))</f>
        <v/>
      </c>
      <c r="Y21" s="57" t="str">
        <f>IF('Cadastro de Insumos'!$O$78=FALSE,"",IF('Cadastro de Insumos'!$P$78=FALSE,(('Cadastro de Insumos'!$E$80*M21)/'Cadastro de Insumos'!$L$80)*1000,(('Cadastro de Insumos'!$E$80*M21)*1000)))</f>
        <v/>
      </c>
      <c r="Z21" s="58" t="str">
        <f>IF('Cadastro de Insumos'!$O$82=FALSE,"",IF('Cadastro de Insumos'!$P$82=FALSE,(('Cadastro de Insumos'!$E$84*M21)/'Cadastro de Insumos'!$L$84)*1000,(('Cadastro de Insumos'!$E$84*M21)*1000)))</f>
        <v/>
      </c>
    </row>
    <row r="22" spans="2:26">
      <c r="B22" s="252">
        <f>B20+0.01</f>
        <v>0.57000000000000006</v>
      </c>
      <c r="C22" s="50"/>
      <c r="D22" s="50"/>
      <c r="E22" s="50"/>
      <c r="F22" s="63"/>
      <c r="G22" s="63"/>
      <c r="H22" s="63"/>
      <c r="I22" s="63"/>
      <c r="J22" s="63"/>
      <c r="K22" s="63"/>
      <c r="L22" s="63"/>
      <c r="M22" s="64" t="str">
        <f>IF(M23="","","+"&amp;ROUND(M23-M21,3))</f>
        <v>+0,076</v>
      </c>
      <c r="N22" s="65" t="str">
        <f>IF(N23="","","+"&amp;ROUND(N23-N21,3))</f>
        <v/>
      </c>
      <c r="O22" s="66" t="str">
        <f>IF(O23="","","+"&amp;ROUND(O23-O21,3))</f>
        <v/>
      </c>
      <c r="P22" s="64" t="str">
        <f t="shared" ref="P22:Z22" si="6">IF(P23="","","+"&amp;ROUND(P23-P21,3))</f>
        <v>+0,379</v>
      </c>
      <c r="Q22" s="65" t="str">
        <f t="shared" si="6"/>
        <v/>
      </c>
      <c r="R22" s="67" t="str">
        <f t="shared" si="6"/>
        <v/>
      </c>
      <c r="S22" s="64" t="str">
        <f t="shared" si="6"/>
        <v/>
      </c>
      <c r="T22" s="65" t="str">
        <f t="shared" si="6"/>
        <v/>
      </c>
      <c r="U22" s="65" t="str">
        <f t="shared" si="6"/>
        <v/>
      </c>
      <c r="V22" s="67" t="str">
        <f t="shared" si="6"/>
        <v/>
      </c>
      <c r="W22" s="64" t="str">
        <f t="shared" si="6"/>
        <v/>
      </c>
      <c r="X22" s="65" t="str">
        <f t="shared" si="6"/>
        <v/>
      </c>
      <c r="Y22" s="65" t="str">
        <f t="shared" si="6"/>
        <v/>
      </c>
      <c r="Z22" s="67" t="str">
        <f t="shared" si="6"/>
        <v/>
      </c>
    </row>
    <row r="23" spans="2:26" ht="16.5" thickBot="1">
      <c r="B23" s="253"/>
      <c r="C23" s="60">
        <f>1*'Cadastro de Insumos'!$P$6</f>
        <v>1</v>
      </c>
      <c r="D23" s="60">
        <f>1*'Cadastro de Insumos'!$P$10</f>
        <v>0</v>
      </c>
      <c r="E23" s="60">
        <f>1*'Cadastro de Insumos'!$P$14</f>
        <v>0</v>
      </c>
      <c r="F23" s="57">
        <f>(B22*(1+$B$6)-1)*'Cadastro de Insumos'!$P$20</f>
        <v>1.6940000000000002</v>
      </c>
      <c r="G23" s="57">
        <f>(B22*(1+$B$6)-1)*'Cadastro de Insumos'!$P$24</f>
        <v>0</v>
      </c>
      <c r="H23" s="57">
        <f>(B22*(1+$B$6)-1)*'Cadastro de Insumos'!$P$28</f>
        <v>0</v>
      </c>
      <c r="I23" s="57">
        <f>($B$6-(SUM(F23:H23)))*'Cadastro de Insumos'!$P$34</f>
        <v>1.9836</v>
      </c>
      <c r="J23" s="57">
        <f>($B$6-(SUM(F23:H23)))*'Cadastro de Insumos'!$P$38</f>
        <v>1.3224</v>
      </c>
      <c r="K23" s="57">
        <f>($B$6-(SUM(F23:H23)))*'Cadastro de Insumos'!$P$42</f>
        <v>0</v>
      </c>
      <c r="L23" s="57">
        <f>($B$6-(SUM(F23:H23)))*'Cadastro de Insumos'!$P$46</f>
        <v>0</v>
      </c>
      <c r="M23" s="56">
        <f>IF(C23=0,"",('Escopo de Estudo'!$D$30/SUM('Ficha de Dosagem - C'!I23:L23))*C23)</f>
        <v>6.0496067755595888</v>
      </c>
      <c r="N23" s="57" t="str">
        <f>IF(N10="","",('Escopo de Estudo'!$D$30/SUM('Ficha de Dosagem - C'!I23:L23))*D23)</f>
        <v/>
      </c>
      <c r="O23" s="58" t="str">
        <f>IF(O10="","",('Escopo de Estudo'!$D$30/SUM('Ficha de Dosagem - C'!I23:L23))*E23)</f>
        <v/>
      </c>
      <c r="P23" s="56">
        <f t="shared" si="1"/>
        <v>10.248033877797944</v>
      </c>
      <c r="Q23" s="72" t="str">
        <f>IF($Q$10="","",SUM(M23:O23)*G23)</f>
        <v/>
      </c>
      <c r="R23" s="55" t="str">
        <f>IF($R$10="","",SUM(M23:O23)*H23)</f>
        <v/>
      </c>
      <c r="S23" s="56" t="str">
        <f>IF('Cadastro de Insumos'!$O$52=FALSE,"",IF('Cadastro de Insumos'!$P$52=FALSE,(('Cadastro de Insumos'!$E$54*M23)/'Cadastro de Insumos'!$L$54)*1000,(('Cadastro de Insumos'!$E$54*M23)*1000)))</f>
        <v/>
      </c>
      <c r="T23" s="57" t="str">
        <f>IF('Cadastro de Insumos'!$O$56=FALSE,"",IF('Cadastro de Insumos'!$P$56=FALSE,(('Cadastro de Insumos'!$E$58*M23)/'Cadastro de Insumos'!$L$58)*1000,(('Cadastro de Insumos'!$E$58*M23)*1000)))</f>
        <v/>
      </c>
      <c r="U23" s="57" t="str">
        <f>IF('Cadastro de Insumos'!$O$60=FALSE,"",IF('Cadastro de Insumos'!$P$60=FALSE,(('Cadastro de Insumos'!$E$62*M23)/'Cadastro de Insumos'!$L$62)*1000,(('Cadastro de Insumos'!$E$62*M23)*1000)))</f>
        <v/>
      </c>
      <c r="V23" s="58" t="str">
        <f>IF('Cadastro de Insumos'!$O$64=FALSE,"",IF('Cadastro de Insumos'!$P$64=FALSE,(('Cadastro de Insumos'!$E$66*M23)/'Cadastro de Insumos'!$L$66)*1000,(('Cadastro de Insumos'!$E$66*M23)*1000)))</f>
        <v/>
      </c>
      <c r="W23" s="56" t="str">
        <f>IF('Cadastro de Insumos'!$O$70=FALSE,"",IF('Cadastro de Insumos'!$P$70=FALSE,(('Cadastro de Insumos'!$E$72*M23)/'Cadastro de Insumos'!$L$72)*1000,(('Cadastro de Insumos'!$E$72*M23)*1000)))</f>
        <v/>
      </c>
      <c r="X23" s="57" t="str">
        <f>IF('Cadastro de Insumos'!$O$74=FALSE,"",IF('Cadastro de Insumos'!$P$74=FALSE,(('Cadastro de Insumos'!$E$76*M23)/'Cadastro de Insumos'!$L$76)*1000,(('Cadastro de Insumos'!$E$76*M23)*1000)))</f>
        <v/>
      </c>
      <c r="Y23" s="57" t="str">
        <f>IF('Cadastro de Insumos'!$O$78=FALSE,"",IF('Cadastro de Insumos'!$P$78=FALSE,(('Cadastro de Insumos'!$E$80*M23)/'Cadastro de Insumos'!$L$80)*1000,(('Cadastro de Insumos'!$E$80*M23)*1000)))</f>
        <v/>
      </c>
      <c r="Z23" s="58" t="str">
        <f>IF('Cadastro de Insumos'!$O$82=FALSE,"",IF('Cadastro de Insumos'!$P$82=FALSE,(('Cadastro de Insumos'!$E$84*M23)/'Cadastro de Insumos'!$L$84)*1000,(('Cadastro de Insumos'!$E$84*M23)*1000)))</f>
        <v/>
      </c>
    </row>
    <row r="24" spans="2:26">
      <c r="B24" s="252">
        <f>B22+0.01</f>
        <v>0.58000000000000007</v>
      </c>
      <c r="C24" s="50"/>
      <c r="D24" s="50"/>
      <c r="E24" s="50"/>
      <c r="F24" s="63"/>
      <c r="G24" s="63"/>
      <c r="H24" s="63"/>
      <c r="I24" s="63"/>
      <c r="J24" s="63"/>
      <c r="K24" s="63"/>
      <c r="L24" s="63"/>
      <c r="M24" s="64" t="str">
        <f>IF(M25="","","+"&amp;ROUND(M25-M23,3))</f>
        <v>+0,078</v>
      </c>
      <c r="N24" s="65" t="str">
        <f>IF(N25="","","+"&amp;ROUND(N25-N23,3))</f>
        <v/>
      </c>
      <c r="O24" s="66" t="str">
        <f>IF(O25="","","+"&amp;ROUND(O25-O23,3))</f>
        <v/>
      </c>
      <c r="P24" s="64" t="str">
        <f t="shared" ref="P24:Z24" si="7">IF(P25="","","+"&amp;ROUND(P25-P23,3))</f>
        <v>+0,389</v>
      </c>
      <c r="Q24" s="65" t="str">
        <f t="shared" si="7"/>
        <v/>
      </c>
      <c r="R24" s="67" t="str">
        <f t="shared" si="7"/>
        <v/>
      </c>
      <c r="S24" s="64" t="str">
        <f t="shared" si="7"/>
        <v/>
      </c>
      <c r="T24" s="65" t="str">
        <f t="shared" si="7"/>
        <v/>
      </c>
      <c r="U24" s="65" t="str">
        <f t="shared" si="7"/>
        <v/>
      </c>
      <c r="V24" s="67" t="str">
        <f t="shared" si="7"/>
        <v/>
      </c>
      <c r="W24" s="64" t="str">
        <f t="shared" si="7"/>
        <v/>
      </c>
      <c r="X24" s="65" t="str">
        <f t="shared" si="7"/>
        <v/>
      </c>
      <c r="Y24" s="65" t="str">
        <f t="shared" si="7"/>
        <v/>
      </c>
      <c r="Z24" s="67" t="str">
        <f t="shared" si="7"/>
        <v/>
      </c>
    </row>
    <row r="25" spans="2:26" ht="16.5" thickBot="1">
      <c r="B25" s="253"/>
      <c r="C25" s="60">
        <f>1*'Cadastro de Insumos'!$P$6</f>
        <v>1</v>
      </c>
      <c r="D25" s="60">
        <f>1*'Cadastro de Insumos'!$P$10</f>
        <v>0</v>
      </c>
      <c r="E25" s="60">
        <f>1*'Cadastro de Insumos'!$P$14</f>
        <v>0</v>
      </c>
      <c r="F25" s="57">
        <f>(B24*(1+$B$6)-1)*'Cadastro de Insumos'!$P$20</f>
        <v>1.7360000000000002</v>
      </c>
      <c r="G25" s="57">
        <f>(B24*(1+$B$6)-1)*'Cadastro de Insumos'!$P$24</f>
        <v>0</v>
      </c>
      <c r="H25" s="57">
        <f>(B24*(1+$B$6)-1)*'Cadastro de Insumos'!$P$28</f>
        <v>0</v>
      </c>
      <c r="I25" s="57">
        <f>($B$6-(SUM(F25:H25)))*'Cadastro de Insumos'!$P$34</f>
        <v>1.9583999999999997</v>
      </c>
      <c r="J25" s="57">
        <f>($B$6-(SUM(F25:H25)))*'Cadastro de Insumos'!$P$38</f>
        <v>1.3056000000000001</v>
      </c>
      <c r="K25" s="57">
        <f>($B$6-(SUM(F25:H25)))*'Cadastro de Insumos'!$P$42</f>
        <v>0</v>
      </c>
      <c r="L25" s="57">
        <f>($B$6-(SUM(F25:H25)))*'Cadastro de Insumos'!$P$46</f>
        <v>0</v>
      </c>
      <c r="M25" s="56">
        <f>IF(C25=0,"",('Escopo de Estudo'!$D$30/SUM('Ficha de Dosagem - C'!I25:L25))*C25)</f>
        <v>6.1274509803921573</v>
      </c>
      <c r="N25" s="57" t="str">
        <f>IF(N10="","",('Escopo de Estudo'!$D$30/SUM('Ficha de Dosagem - C'!I25:L25))*D25)</f>
        <v/>
      </c>
      <c r="O25" s="58" t="str">
        <f>IF(O10="","",('Escopo de Estudo'!$D$30/SUM('Ficha de Dosagem - C'!I25:L25))*E25)</f>
        <v/>
      </c>
      <c r="P25" s="56">
        <f t="shared" si="1"/>
        <v>10.637254901960786</v>
      </c>
      <c r="Q25" s="72" t="str">
        <f>IF($Q$10="","",SUM(M25:O25)*G25)</f>
        <v/>
      </c>
      <c r="R25" s="55" t="str">
        <f>IF($R$10="","",SUM(M25:O25)*H25)</f>
        <v/>
      </c>
      <c r="S25" s="56" t="str">
        <f>IF('Cadastro de Insumos'!$O$52=FALSE,"",IF('Cadastro de Insumos'!$P$52=FALSE,(('Cadastro de Insumos'!$E$54*M25)/'Cadastro de Insumos'!$L$54)*1000,(('Cadastro de Insumos'!$E$54*M25)*1000)))</f>
        <v/>
      </c>
      <c r="T25" s="57" t="str">
        <f>IF('Cadastro de Insumos'!$O$56=FALSE,"",IF('Cadastro de Insumos'!$P$56=FALSE,(('Cadastro de Insumos'!$E$58*M25)/'Cadastro de Insumos'!$L$58)*1000,(('Cadastro de Insumos'!$E$58*M25)*1000)))</f>
        <v/>
      </c>
      <c r="U25" s="57" t="str">
        <f>IF('Cadastro de Insumos'!$O$60=FALSE,"",IF('Cadastro de Insumos'!$P$60=FALSE,(('Cadastro de Insumos'!$E$62*M25)/'Cadastro de Insumos'!$L$62)*1000,(('Cadastro de Insumos'!$E$62*M25)*1000)))</f>
        <v/>
      </c>
      <c r="V25" s="58" t="str">
        <f>IF('Cadastro de Insumos'!$O$64=FALSE,"",IF('Cadastro de Insumos'!$P$64=FALSE,(('Cadastro de Insumos'!$E$66*M25)/'Cadastro de Insumos'!$L$66)*1000,(('Cadastro de Insumos'!$E$66*M25)*1000)))</f>
        <v/>
      </c>
      <c r="W25" s="56" t="str">
        <f>IF('Cadastro de Insumos'!$O$70=FALSE,"",IF('Cadastro de Insumos'!$P$70=FALSE,(('Cadastro de Insumos'!$E$72*M25)/'Cadastro de Insumos'!$L$72)*1000,(('Cadastro de Insumos'!$E$72*M25)*1000)))</f>
        <v/>
      </c>
      <c r="X25" s="57" t="str">
        <f>IF('Cadastro de Insumos'!$O$74=FALSE,"",IF('Cadastro de Insumos'!$P$74=FALSE,(('Cadastro de Insumos'!$E$76*M25)/'Cadastro de Insumos'!$L$76)*1000,(('Cadastro de Insumos'!$E$76*M25)*1000)))</f>
        <v/>
      </c>
      <c r="Y25" s="57" t="str">
        <f>IF('Cadastro de Insumos'!$O$78=FALSE,"",IF('Cadastro de Insumos'!$P$78=FALSE,(('Cadastro de Insumos'!$E$80*M25)/'Cadastro de Insumos'!$L$80)*1000,(('Cadastro de Insumos'!$E$80*M25)*1000)))</f>
        <v/>
      </c>
      <c r="Z25" s="58" t="str">
        <f>IF('Cadastro de Insumos'!$O$82=FALSE,"",IF('Cadastro de Insumos'!$P$82=FALSE,(('Cadastro de Insumos'!$E$84*M25)/'Cadastro de Insumos'!$L$84)*1000,(('Cadastro de Insumos'!$E$84*M25)*1000)))</f>
        <v/>
      </c>
    </row>
    <row r="26" spans="2:26">
      <c r="B26" s="252">
        <f>B24+0.01</f>
        <v>0.59000000000000008</v>
      </c>
      <c r="C26" s="50"/>
      <c r="D26" s="50"/>
      <c r="E26" s="50"/>
      <c r="F26" s="63"/>
      <c r="G26" s="63"/>
      <c r="H26" s="63"/>
      <c r="I26" s="63"/>
      <c r="J26" s="63"/>
      <c r="K26" s="63"/>
      <c r="L26" s="63"/>
      <c r="M26" s="64" t="str">
        <f>IF(M27="","","+"&amp;ROUND(M27-M25,3))</f>
        <v>+0,08</v>
      </c>
      <c r="N26" s="65" t="str">
        <f>IF(N27="","","+"&amp;ROUND(N27-N25,3))</f>
        <v/>
      </c>
      <c r="O26" s="66" t="str">
        <f>IF(O27="","","+"&amp;ROUND(O27-O25,3))</f>
        <v/>
      </c>
      <c r="P26" s="64" t="str">
        <f t="shared" ref="P26:Z26" si="8">IF(P27="","","+"&amp;ROUND(P27-P25,3))</f>
        <v>+0,399</v>
      </c>
      <c r="Q26" s="65" t="str">
        <f t="shared" si="8"/>
        <v/>
      </c>
      <c r="R26" s="67" t="str">
        <f t="shared" si="8"/>
        <v/>
      </c>
      <c r="S26" s="64" t="str">
        <f t="shared" si="8"/>
        <v/>
      </c>
      <c r="T26" s="65" t="str">
        <f t="shared" si="8"/>
        <v/>
      </c>
      <c r="U26" s="65" t="str">
        <f t="shared" si="8"/>
        <v/>
      </c>
      <c r="V26" s="67" t="str">
        <f t="shared" si="8"/>
        <v/>
      </c>
      <c r="W26" s="64" t="str">
        <f t="shared" si="8"/>
        <v/>
      </c>
      <c r="X26" s="65" t="str">
        <f t="shared" si="8"/>
        <v/>
      </c>
      <c r="Y26" s="65" t="str">
        <f t="shared" si="8"/>
        <v/>
      </c>
      <c r="Z26" s="67" t="str">
        <f t="shared" si="8"/>
        <v/>
      </c>
    </row>
    <row r="27" spans="2:26" ht="16.5" thickBot="1">
      <c r="B27" s="253"/>
      <c r="C27" s="60">
        <f>1*'Cadastro de Insumos'!$P$6</f>
        <v>1</v>
      </c>
      <c r="D27" s="60">
        <f>1*'Cadastro de Insumos'!$P$10</f>
        <v>0</v>
      </c>
      <c r="E27" s="60">
        <f>1*'Cadastro de Insumos'!$P$14</f>
        <v>0</v>
      </c>
      <c r="F27" s="57">
        <f>(B26*(1+$B$6)-1)*'Cadastro de Insumos'!$P$20</f>
        <v>1.7780000000000002</v>
      </c>
      <c r="G27" s="57">
        <f>(B26*(1+$B$6)-1)*'Cadastro de Insumos'!$P$24</f>
        <v>0</v>
      </c>
      <c r="H27" s="57">
        <f>(B26*(1+$B$6)-1)*'Cadastro de Insumos'!$P$28</f>
        <v>0</v>
      </c>
      <c r="I27" s="57">
        <f>($B$6-(SUM(F27:H27)))*'Cadastro de Insumos'!$P$34</f>
        <v>1.9331999999999996</v>
      </c>
      <c r="J27" s="57">
        <f>($B$6-(SUM(F27:H27)))*'Cadastro de Insumos'!$P$38</f>
        <v>1.2887999999999999</v>
      </c>
      <c r="K27" s="57">
        <f>($B$6-(SUM(F27:H27)))*'Cadastro de Insumos'!$P$42</f>
        <v>0</v>
      </c>
      <c r="L27" s="57">
        <f>($B$6-(SUM(F27:H27)))*'Cadastro de Insumos'!$P$46</f>
        <v>0</v>
      </c>
      <c r="M27" s="56">
        <f>IF(C27=0,"",('Escopo de Estudo'!$D$30/SUM('Ficha de Dosagem - C'!I27:L27))*C27)</f>
        <v>6.2073246430788336</v>
      </c>
      <c r="N27" s="57" t="str">
        <f>IF(N10="","",('Escopo de Estudo'!$D$30/SUM('Ficha de Dosagem - C'!I27:L27))*D27)</f>
        <v/>
      </c>
      <c r="O27" s="58" t="str">
        <f>IF(O10="","",('Escopo de Estudo'!$D$30/SUM('Ficha de Dosagem - C'!I27:L27))*E27)</f>
        <v/>
      </c>
      <c r="P27" s="56">
        <f t="shared" si="1"/>
        <v>11.036623215394167</v>
      </c>
      <c r="Q27" s="72" t="str">
        <f>IF($Q$10="","",SUM(M27:O27)*G27)</f>
        <v/>
      </c>
      <c r="R27" s="55" t="str">
        <f>IF($R$10="","",SUM(M27:O27)*H27)</f>
        <v/>
      </c>
      <c r="S27" s="56" t="str">
        <f>IF('Cadastro de Insumos'!$O$52=FALSE,"",IF('Cadastro de Insumos'!$P$52=FALSE,(('Cadastro de Insumos'!$E$54*M27)/'Cadastro de Insumos'!$L$54)*1000,(('Cadastro de Insumos'!$E$54*M27)*1000)))</f>
        <v/>
      </c>
      <c r="T27" s="57" t="str">
        <f>IF('Cadastro de Insumos'!$O$56=FALSE,"",IF('Cadastro de Insumos'!$P$56=FALSE,(('Cadastro de Insumos'!$E$58*M27)/'Cadastro de Insumos'!$L$58)*1000,(('Cadastro de Insumos'!$E$58*M27)*1000)))</f>
        <v/>
      </c>
      <c r="U27" s="57" t="str">
        <f>IF('Cadastro de Insumos'!$O$60=FALSE,"",IF('Cadastro de Insumos'!$P$60=FALSE,(('Cadastro de Insumos'!$E$62*M27)/'Cadastro de Insumos'!$L$62)*1000,(('Cadastro de Insumos'!$E$62*M27)*1000)))</f>
        <v/>
      </c>
      <c r="V27" s="58" t="str">
        <f>IF('Cadastro de Insumos'!$O$64=FALSE,"",IF('Cadastro de Insumos'!$P$64=FALSE,(('Cadastro de Insumos'!$E$66*M27)/'Cadastro de Insumos'!$L$66)*1000,(('Cadastro de Insumos'!$E$66*M27)*1000)))</f>
        <v/>
      </c>
      <c r="W27" s="56" t="str">
        <f>IF('Cadastro de Insumos'!$O$70=FALSE,"",IF('Cadastro de Insumos'!$P$70=FALSE,(('Cadastro de Insumos'!$E$72*M27)/'Cadastro de Insumos'!$L$72)*1000,(('Cadastro de Insumos'!$E$72*M27)*1000)))</f>
        <v/>
      </c>
      <c r="X27" s="57" t="str">
        <f>IF('Cadastro de Insumos'!$O$74=FALSE,"",IF('Cadastro de Insumos'!$P$74=FALSE,(('Cadastro de Insumos'!$E$76*M27)/'Cadastro de Insumos'!$L$76)*1000,(('Cadastro de Insumos'!$E$76*M27)*1000)))</f>
        <v/>
      </c>
      <c r="Y27" s="57" t="str">
        <f>IF('Cadastro de Insumos'!$O$78=FALSE,"",IF('Cadastro de Insumos'!$P$78=FALSE,(('Cadastro de Insumos'!$E$80*M27)/'Cadastro de Insumos'!$L$80)*1000,(('Cadastro de Insumos'!$E$80*M27)*1000)))</f>
        <v/>
      </c>
      <c r="Z27" s="58" t="str">
        <f>IF('Cadastro de Insumos'!$O$82=FALSE,"",IF('Cadastro de Insumos'!$P$82=FALSE,(('Cadastro de Insumos'!$E$84*M27)/'Cadastro de Insumos'!$L$84)*1000,(('Cadastro de Insumos'!$E$84*M27)*1000)))</f>
        <v/>
      </c>
    </row>
    <row r="28" spans="2:26">
      <c r="B28" s="252">
        <f>B26+0.01</f>
        <v>0.60000000000000009</v>
      </c>
      <c r="C28" s="50"/>
      <c r="D28" s="50"/>
      <c r="E28" s="50"/>
      <c r="F28" s="63"/>
      <c r="G28" s="63"/>
      <c r="H28" s="63"/>
      <c r="I28" s="63"/>
      <c r="J28" s="63"/>
      <c r="K28" s="63"/>
      <c r="L28" s="63"/>
      <c r="M28" s="64" t="str">
        <f>IF(M29="","","+"&amp;ROUND(M29-M27,3))</f>
        <v>+0,082</v>
      </c>
      <c r="N28" s="65" t="str">
        <f>IF(N29="","","+"&amp;ROUND(N29-N27,3))</f>
        <v/>
      </c>
      <c r="O28" s="66" t="str">
        <f>IF(O29="","","+"&amp;ROUND(O29-O27,3))</f>
        <v/>
      </c>
      <c r="P28" s="64" t="str">
        <f t="shared" ref="P28:Z28" si="9">IF(P29="","","+"&amp;ROUND(P29-P27,3))</f>
        <v>+0,41</v>
      </c>
      <c r="Q28" s="65" t="str">
        <f t="shared" si="9"/>
        <v/>
      </c>
      <c r="R28" s="67" t="str">
        <f t="shared" si="9"/>
        <v/>
      </c>
      <c r="S28" s="64" t="str">
        <f t="shared" si="9"/>
        <v/>
      </c>
      <c r="T28" s="65" t="str">
        <f t="shared" si="9"/>
        <v/>
      </c>
      <c r="U28" s="65" t="str">
        <f t="shared" si="9"/>
        <v/>
      </c>
      <c r="V28" s="67" t="str">
        <f t="shared" si="9"/>
        <v/>
      </c>
      <c r="W28" s="64" t="str">
        <f t="shared" si="9"/>
        <v/>
      </c>
      <c r="X28" s="65" t="str">
        <f t="shared" si="9"/>
        <v/>
      </c>
      <c r="Y28" s="65" t="str">
        <f t="shared" si="9"/>
        <v/>
      </c>
      <c r="Z28" s="67" t="str">
        <f t="shared" si="9"/>
        <v/>
      </c>
    </row>
    <row r="29" spans="2:26" ht="16.5" thickBot="1">
      <c r="B29" s="253"/>
      <c r="C29" s="60">
        <f>1*'Cadastro de Insumos'!$P$6</f>
        <v>1</v>
      </c>
      <c r="D29" s="60">
        <f>1*'Cadastro de Insumos'!$P$10</f>
        <v>0</v>
      </c>
      <c r="E29" s="60">
        <f>1*'Cadastro de Insumos'!$P$14</f>
        <v>0</v>
      </c>
      <c r="F29" s="57">
        <f>(B28*(1+$B$6)-1)*'Cadastro de Insumos'!$P$20</f>
        <v>1.8200000000000003</v>
      </c>
      <c r="G29" s="57">
        <f>(B28*(1+$B$6)-1)*'Cadastro de Insumos'!$P$24</f>
        <v>0</v>
      </c>
      <c r="H29" s="57">
        <f>(B28*(1+$B$6)-1)*'Cadastro de Insumos'!$P$28</f>
        <v>0</v>
      </c>
      <c r="I29" s="57">
        <f>($B$6-(SUM(F29:H29)))*'Cadastro de Insumos'!$P$34</f>
        <v>1.9079999999999997</v>
      </c>
      <c r="J29" s="57">
        <f>($B$6-(SUM(F29:H29)))*'Cadastro de Insumos'!$P$38</f>
        <v>1.272</v>
      </c>
      <c r="K29" s="57">
        <f>($B$6-(SUM(F29:H29)))*'Cadastro de Insumos'!$P$42</f>
        <v>0</v>
      </c>
      <c r="L29" s="57">
        <f>($B$6-(SUM(F29:H29)))*'Cadastro de Insumos'!$P$46</f>
        <v>0</v>
      </c>
      <c r="M29" s="56">
        <f>IF(C29=0,"",('Escopo de Estudo'!$D$30/SUM('Ficha de Dosagem - C'!I29:L29))*C29)</f>
        <v>6.2893081761006293</v>
      </c>
      <c r="N29" s="57" t="str">
        <f>IF(N10="","",('Escopo de Estudo'!$D$30/SUM('Ficha de Dosagem - C'!I29:L29))*D29)</f>
        <v/>
      </c>
      <c r="O29" s="58" t="str">
        <f>IF(O10="","",('Escopo de Estudo'!$D$30/SUM('Ficha de Dosagem - C'!I29:L29))*E29)</f>
        <v/>
      </c>
      <c r="P29" s="56">
        <f t="shared" si="1"/>
        <v>11.446540880503147</v>
      </c>
      <c r="Q29" s="72" t="str">
        <f>IF($Q$10="","",SUM(M29:O29)*G29)</f>
        <v/>
      </c>
      <c r="R29" s="55" t="str">
        <f>IF($R$10="","",SUM(M29:O29)*H29)</f>
        <v/>
      </c>
      <c r="S29" s="56" t="str">
        <f>IF('Cadastro de Insumos'!$O$52=FALSE,"",IF('Cadastro de Insumos'!$P$52=FALSE,(('Cadastro de Insumos'!$E$54*M29)/'Cadastro de Insumos'!$L$54)*1000,(('Cadastro de Insumos'!$E$54*M29)*1000)))</f>
        <v/>
      </c>
      <c r="T29" s="57" t="str">
        <f>IF('Cadastro de Insumos'!$O$56=FALSE,"",IF('Cadastro de Insumos'!$P$56=FALSE,(('Cadastro de Insumos'!$E$58*M29)/'Cadastro de Insumos'!$L$58)*1000,(('Cadastro de Insumos'!$E$58*M29)*1000)))</f>
        <v/>
      </c>
      <c r="U29" s="57" t="str">
        <f>IF('Cadastro de Insumos'!$O$60=FALSE,"",IF('Cadastro de Insumos'!$P$60=FALSE,(('Cadastro de Insumos'!$E$62*M29)/'Cadastro de Insumos'!$L$62)*1000,(('Cadastro de Insumos'!$E$62*M29)*1000)))</f>
        <v/>
      </c>
      <c r="V29" s="58" t="str">
        <f>IF('Cadastro de Insumos'!$O$64=FALSE,"",IF('Cadastro de Insumos'!$P$64=FALSE,(('Cadastro de Insumos'!$E$66*M29)/'Cadastro de Insumos'!$L$66)*1000,(('Cadastro de Insumos'!$E$66*M29)*1000)))</f>
        <v/>
      </c>
      <c r="W29" s="56" t="str">
        <f>IF('Cadastro de Insumos'!$O$70=FALSE,"",IF('Cadastro de Insumos'!$P$70=FALSE,(('Cadastro de Insumos'!$E$72*M29)/'Cadastro de Insumos'!$L$72)*1000,(('Cadastro de Insumos'!$E$72*M29)*1000)))</f>
        <v/>
      </c>
      <c r="X29" s="57" t="str">
        <f>IF('Cadastro de Insumos'!$O$74=FALSE,"",IF('Cadastro de Insumos'!$P$74=FALSE,(('Cadastro de Insumos'!$E$76*M29)/'Cadastro de Insumos'!$L$76)*1000,(('Cadastro de Insumos'!$E$76*M29)*1000)))</f>
        <v/>
      </c>
      <c r="Y29" s="57" t="str">
        <f>IF('Cadastro de Insumos'!$O$78=FALSE,"",IF('Cadastro de Insumos'!$P$78=FALSE,(('Cadastro de Insumos'!$E$80*M29)/'Cadastro de Insumos'!$L$80)*1000,(('Cadastro de Insumos'!$E$80*M29)*1000)))</f>
        <v/>
      </c>
      <c r="Z29" s="58" t="str">
        <f>IF('Cadastro de Insumos'!$O$82=FALSE,"",IF('Cadastro de Insumos'!$P$82=FALSE,(('Cadastro de Insumos'!$E$84*M29)/'Cadastro de Insumos'!$L$84)*1000,(('Cadastro de Insumos'!$E$84*M29)*1000)))</f>
        <v/>
      </c>
    </row>
    <row r="30" spans="2:26">
      <c r="B30" s="252">
        <f>B28+0.01</f>
        <v>0.6100000000000001</v>
      </c>
      <c r="C30" s="50"/>
      <c r="D30" s="50"/>
      <c r="E30" s="50"/>
      <c r="F30" s="63"/>
      <c r="G30" s="63"/>
      <c r="H30" s="63"/>
      <c r="I30" s="63"/>
      <c r="J30" s="63"/>
      <c r="K30" s="63"/>
      <c r="L30" s="63"/>
      <c r="M30" s="64" t="str">
        <f>IF(M31="","","+"&amp;ROUND(M31-M29,3))</f>
        <v>+0,084</v>
      </c>
      <c r="N30" s="65" t="str">
        <f>IF(N31="","","+"&amp;ROUND(N31-N29,3))</f>
        <v/>
      </c>
      <c r="O30" s="66" t="str">
        <f>IF(O31="","","+"&amp;ROUND(O31-O29,3))</f>
        <v/>
      </c>
      <c r="P30" s="64" t="str">
        <f t="shared" ref="P30:Z30" si="10">IF(P31="","","+"&amp;ROUND(P31-P29,3))</f>
        <v>+0,421</v>
      </c>
      <c r="Q30" s="65" t="str">
        <f t="shared" si="10"/>
        <v/>
      </c>
      <c r="R30" s="67" t="str">
        <f t="shared" si="10"/>
        <v/>
      </c>
      <c r="S30" s="64" t="str">
        <f t="shared" si="10"/>
        <v/>
      </c>
      <c r="T30" s="65" t="str">
        <f t="shared" si="10"/>
        <v/>
      </c>
      <c r="U30" s="65" t="str">
        <f t="shared" si="10"/>
        <v/>
      </c>
      <c r="V30" s="67" t="str">
        <f t="shared" si="10"/>
        <v/>
      </c>
      <c r="W30" s="64" t="str">
        <f t="shared" si="10"/>
        <v/>
      </c>
      <c r="X30" s="65" t="str">
        <f t="shared" si="10"/>
        <v/>
      </c>
      <c r="Y30" s="65" t="str">
        <f t="shared" si="10"/>
        <v/>
      </c>
      <c r="Z30" s="67" t="str">
        <f t="shared" si="10"/>
        <v/>
      </c>
    </row>
    <row r="31" spans="2:26" ht="16.5" thickBot="1">
      <c r="B31" s="253"/>
      <c r="C31" s="60">
        <f>1*'Cadastro de Insumos'!$P$6</f>
        <v>1</v>
      </c>
      <c r="D31" s="60">
        <f>1*'Cadastro de Insumos'!$P$10</f>
        <v>0</v>
      </c>
      <c r="E31" s="60">
        <f>1*'Cadastro de Insumos'!$P$14</f>
        <v>0</v>
      </c>
      <c r="F31" s="57">
        <f>(B30*(1+$B$6)-1)*'Cadastro de Insumos'!$P$20</f>
        <v>1.8620000000000003</v>
      </c>
      <c r="G31" s="57">
        <f>(B30*(1+$B$6)-1)*'Cadastro de Insumos'!$P$24</f>
        <v>0</v>
      </c>
      <c r="H31" s="57">
        <f>(B30*(1+$B$6)-1)*'Cadastro de Insumos'!$P$28</f>
        <v>0</v>
      </c>
      <c r="I31" s="57">
        <f>($B$6-(SUM(F31:H31)))*'Cadastro de Insumos'!$P$34</f>
        <v>1.8827999999999998</v>
      </c>
      <c r="J31" s="57">
        <f>($B$6-(SUM(F31:H31)))*'Cadastro de Insumos'!$P$38</f>
        <v>1.2552000000000001</v>
      </c>
      <c r="K31" s="57">
        <f>($B$6-(SUM(F31:H31)))*'Cadastro de Insumos'!$P$42</f>
        <v>0</v>
      </c>
      <c r="L31" s="57">
        <f>($B$6-(SUM(F31:H31)))*'Cadastro de Insumos'!$P$46</f>
        <v>0</v>
      </c>
      <c r="M31" s="56">
        <f>IF(C31=0,"",('Escopo de Estudo'!$D$30/SUM('Ficha de Dosagem - C'!I31:L31))*C31)</f>
        <v>6.3734862970044617</v>
      </c>
      <c r="N31" s="57" t="str">
        <f>IF(N10="","",('Escopo de Estudo'!$D$30/SUM('Ficha de Dosagem - C'!I31:L31))*D31)</f>
        <v/>
      </c>
      <c r="O31" s="58" t="str">
        <f>IF(O10="","",('Escopo de Estudo'!$D$30/SUM('Ficha de Dosagem - C'!I31:L31))*E31)</f>
        <v/>
      </c>
      <c r="P31" s="56">
        <f t="shared" si="1"/>
        <v>11.86743148502231</v>
      </c>
      <c r="Q31" s="57" t="str">
        <f>IF($Q$10="","",SUM(M31:O31)*G31)</f>
        <v/>
      </c>
      <c r="R31" s="58" t="str">
        <f>IF($R$10="","",SUM(M31:O31)*H31)</f>
        <v/>
      </c>
      <c r="S31" s="56" t="str">
        <f>IF('Cadastro de Insumos'!$O$52=FALSE,"",IF('Cadastro de Insumos'!$P$52=FALSE,(('Cadastro de Insumos'!$E$54*M31)/'Cadastro de Insumos'!$L$54)*1000,(('Cadastro de Insumos'!$E$54*M31)*1000)))</f>
        <v/>
      </c>
      <c r="T31" s="57" t="str">
        <f>IF('Cadastro de Insumos'!$O$56=FALSE,"",IF('Cadastro de Insumos'!$P$56=FALSE,(('Cadastro de Insumos'!$E$58*M31)/'Cadastro de Insumos'!$L$58)*1000,(('Cadastro de Insumos'!$E$58*M31)*1000)))</f>
        <v/>
      </c>
      <c r="U31" s="57" t="str">
        <f>IF('Cadastro de Insumos'!$O$60=FALSE,"",IF('Cadastro de Insumos'!$P$60=FALSE,(('Cadastro de Insumos'!$E$62*M31)/'Cadastro de Insumos'!$L$62)*1000,(('Cadastro de Insumos'!$E$62*M31)*1000)))</f>
        <v/>
      </c>
      <c r="V31" s="58" t="str">
        <f>IF('Cadastro de Insumos'!$O$64=FALSE,"",IF('Cadastro de Insumos'!$P$64=FALSE,(('Cadastro de Insumos'!$E$66*M31)/'Cadastro de Insumos'!$L$66)*1000,(('Cadastro de Insumos'!$E$66*M31)*1000)))</f>
        <v/>
      </c>
      <c r="W31" s="56" t="str">
        <f>IF('Cadastro de Insumos'!$O$70=FALSE,"",IF('Cadastro de Insumos'!$P$70=FALSE,(('Cadastro de Insumos'!$E$72*M31)/'Cadastro de Insumos'!$L$72)*1000,(('Cadastro de Insumos'!$E$72*M31)*1000)))</f>
        <v/>
      </c>
      <c r="X31" s="57" t="str">
        <f>IF('Cadastro de Insumos'!$O$74=FALSE,"",IF('Cadastro de Insumos'!$P$74=FALSE,(('Cadastro de Insumos'!$E$76*M31)/'Cadastro de Insumos'!$L$76)*1000,(('Cadastro de Insumos'!$E$76*M31)*1000)))</f>
        <v/>
      </c>
      <c r="Y31" s="57" t="str">
        <f>IF('Cadastro de Insumos'!$O$78=FALSE,"",IF('Cadastro de Insumos'!$P$78=FALSE,(('Cadastro de Insumos'!$E$80*M31)/'Cadastro de Insumos'!$L$80)*1000,(('Cadastro de Insumos'!$E$80*M31)*1000)))</f>
        <v/>
      </c>
      <c r="Z31" s="58" t="str">
        <f>IF('Cadastro de Insumos'!$O$82=FALSE,"",IF('Cadastro de Insumos'!$P$82=FALSE,(('Cadastro de Insumos'!$E$84*M31)/'Cadastro de Insumos'!$L$84)*1000,(('Cadastro de Insumos'!$E$84*M31)*1000)))</f>
        <v/>
      </c>
    </row>
  </sheetData>
  <mergeCells count="34">
    <mergeCell ref="N7:O7"/>
    <mergeCell ref="Q7:R7"/>
    <mergeCell ref="T7:V7"/>
    <mergeCell ref="X7:Z7"/>
    <mergeCell ref="N2:O2"/>
    <mergeCell ref="U2:W2"/>
    <mergeCell ref="N3:O3"/>
    <mergeCell ref="U3:W3"/>
    <mergeCell ref="N5:O5"/>
    <mergeCell ref="Q5:R5"/>
    <mergeCell ref="T5:V5"/>
    <mergeCell ref="X5:Z5"/>
    <mergeCell ref="N6:O6"/>
    <mergeCell ref="Q6:R6"/>
    <mergeCell ref="T6:V6"/>
    <mergeCell ref="X6:Z6"/>
    <mergeCell ref="T8:V8"/>
    <mergeCell ref="X8:Z8"/>
    <mergeCell ref="B9:B10"/>
    <mergeCell ref="C9:K9"/>
    <mergeCell ref="M9:O9"/>
    <mergeCell ref="P9:R9"/>
    <mergeCell ref="S9:V9"/>
    <mergeCell ref="W9:Z9"/>
    <mergeCell ref="B24:B25"/>
    <mergeCell ref="B26:B27"/>
    <mergeCell ref="B28:B29"/>
    <mergeCell ref="B30:B31"/>
    <mergeCell ref="B12:B13"/>
    <mergeCell ref="B14:B15"/>
    <mergeCell ref="B16:B17"/>
    <mergeCell ref="B18:B19"/>
    <mergeCell ref="B20:B21"/>
    <mergeCell ref="B22:B23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28DCB95-2673-459C-A9B9-1532147293FD}">
            <xm:f>'Dados - Fase Plástica'!$P$1="ERRO"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B2:Z31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6D9A-D58C-4444-94AF-D92733B831ED}">
  <dimension ref="B1:Z31"/>
  <sheetViews>
    <sheetView view="pageBreakPreview" zoomScaleNormal="100" zoomScaleSheetLayoutView="100" workbookViewId="0">
      <selection activeCell="N2" sqref="N2:O2"/>
    </sheetView>
  </sheetViews>
  <sheetFormatPr defaultColWidth="9.125" defaultRowHeight="15.75"/>
  <cols>
    <col min="1" max="1" width="9.125" style="27"/>
    <col min="2" max="2" width="15.625" style="27" bestFit="1" customWidth="1"/>
    <col min="3" max="12" width="0" style="27" hidden="1" customWidth="1"/>
    <col min="13" max="18" width="16.125" style="27" customWidth="1"/>
    <col min="19" max="26" width="13.375" style="27" customWidth="1"/>
    <col min="27" max="16384" width="9.125" style="27"/>
  </cols>
  <sheetData>
    <row r="1" spans="2:26" ht="16.5" thickBot="1"/>
    <row r="2" spans="2:26" ht="28.5" customHeight="1">
      <c r="B2" s="73" t="b">
        <f>'Escopo de Estudo'!P10</f>
        <v>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49" t="str">
        <f>IF('Cadastro de Insumos'!O34=FALSE,"","p1")</f>
        <v>p1</v>
      </c>
      <c r="N2" s="260" t="str">
        <f>IF(M2="","",'Cadastro de Insumos'!E34&amp;" - "&amp;'Cadastro de Insumos'!E35&amp;" - "&amp;'Cadastro de Insumos'!E36)</f>
        <v>Brita 1 - Serra de São Vicente - Cuiabá-MT</v>
      </c>
      <c r="O2" s="260"/>
      <c r="P2" s="68" t="str">
        <f>IF(M2="","","Quantidade (kg)")</f>
        <v>Quantidade (kg)</v>
      </c>
      <c r="Q2" s="71">
        <f>IF(M2="","",'Escopo de Estudo'!D30*'Cadastro de Insumos'!P34)</f>
        <v>12</v>
      </c>
      <c r="R2" s="50"/>
      <c r="S2" s="50"/>
      <c r="T2" s="49" t="str">
        <f>IF('Cadastro de Insumos'!O42=FALSE,"","p3")</f>
        <v/>
      </c>
      <c r="U2" s="248" t="str">
        <f>IF(T2="","",'Cadastro de Insumos'!E42&amp;" - "&amp;'Cadastro de Insumos'!E43&amp;" - "&amp;'Cadastro de Insumos'!E44)</f>
        <v/>
      </c>
      <c r="V2" s="248"/>
      <c r="W2" s="248"/>
      <c r="X2" s="68" t="str">
        <f>IF(U2="","","Quantidade (kg)")</f>
        <v/>
      </c>
      <c r="Y2" s="51" t="str">
        <f>IF(T2="","",'Escopo de Estudo'!D30*'Cadastro de Insumos'!P42)</f>
        <v/>
      </c>
      <c r="Z2" s="51"/>
    </row>
    <row r="3" spans="2:26" ht="28.5" customHeight="1" thickBot="1">
      <c r="B3" s="52"/>
      <c r="M3" s="59" t="str">
        <f>IF('Cadastro de Insumos'!O38=FALSE,"","p2")</f>
        <v>p2</v>
      </c>
      <c r="N3" s="261" t="str">
        <f>IF(M3="","",'Cadastro de Insumos'!E38&amp;" - "&amp;'Cadastro de Insumos'!E39&amp;" - "&amp;'Cadastro de Insumos'!E40)</f>
        <v>Brita 0 - Serra de São Vicente - Cuiabá-MT</v>
      </c>
      <c r="O3" s="261"/>
      <c r="P3" s="69" t="str">
        <f>IF(M3="","","Quantidade (kg)")</f>
        <v>Quantidade (kg)</v>
      </c>
      <c r="Q3" s="58">
        <f>IF(M3="","",'Escopo de Estudo'!D30*'Cadastro de Insumos'!P38)</f>
        <v>8</v>
      </c>
      <c r="T3" s="59" t="str">
        <f>IF('Cadastro de Insumos'!O46=FALSE,"","p4")</f>
        <v/>
      </c>
      <c r="U3" s="262" t="str">
        <f>IF(T3="","",'Cadastro de Insumos'!E46&amp;" - "&amp;'Cadastro de Insumos'!E47&amp;" - "&amp;'Cadastro de Insumos'!E48)</f>
        <v/>
      </c>
      <c r="V3" s="262"/>
      <c r="W3" s="262"/>
      <c r="X3" s="69" t="str">
        <f>IF(U3="","","Quantidade (kg)")</f>
        <v/>
      </c>
      <c r="Y3" s="61" t="str">
        <f>IF(T3="","",'Escopo de Estudo'!D30*'Cadastro de Insumos'!P46)</f>
        <v/>
      </c>
      <c r="Z3" s="53"/>
    </row>
    <row r="4" spans="2:26" ht="15.75" customHeight="1" thickBot="1">
      <c r="B4" s="52"/>
      <c r="Z4" s="53"/>
    </row>
    <row r="5" spans="2:26" ht="28.5" customHeight="1">
      <c r="B5" s="47" t="s">
        <v>81</v>
      </c>
      <c r="M5" s="49" t="str">
        <f>M10</f>
        <v>CP</v>
      </c>
      <c r="N5" s="254" t="str">
        <f>IF(M5="","",'Cadastro de Insumos'!E6&amp;" - "&amp;'Cadastro de Insumos'!E7&amp;" - "&amp;'Cadastro de Insumos'!E8)</f>
        <v>CP II F 40 - Votorantim - Cuiabá-MT</v>
      </c>
      <c r="O5" s="255"/>
      <c r="P5" s="49" t="str">
        <f>P10</f>
        <v>a1</v>
      </c>
      <c r="Q5" s="254" t="str">
        <f>IF(P5="","",'Cadastro de Insumos'!E20&amp;" - "&amp;'Cadastro de Insumos'!E21&amp;" - "&amp;'Cadastro de Insumos'!E22)</f>
        <v>Areia Natural do Rio Cuiabá - - - Cuiabá - MT</v>
      </c>
      <c r="R5" s="255"/>
      <c r="S5" s="49" t="str">
        <f>S10</f>
        <v/>
      </c>
      <c r="T5" s="254" t="str">
        <f>IF(S5="","",'Cadastro de Insumos'!E52&amp;" - "&amp;'Cadastro de Insumos'!E53&amp;" - "&amp;'Cadastro de Insumos'!E54*100&amp;"% - "&amp;'Cadastro de Insumos'!L54)</f>
        <v/>
      </c>
      <c r="U5" s="254"/>
      <c r="V5" s="255"/>
      <c r="W5" s="49" t="str">
        <f>W10</f>
        <v/>
      </c>
      <c r="X5" s="254"/>
      <c r="Y5" s="254"/>
      <c r="Z5" s="255"/>
    </row>
    <row r="6" spans="2:26" ht="28.5" customHeight="1" thickBot="1">
      <c r="B6" s="48">
        <f>'Escopo de Estudo'!P8</f>
        <v>6</v>
      </c>
      <c r="M6" s="52" t="str">
        <f>N10</f>
        <v/>
      </c>
      <c r="N6" s="256" t="str">
        <f>IF(M6="","",'Cadastro de Insumos'!E10&amp;" - "&amp;'Cadastro de Insumos'!E11&amp;" - "&amp;'Cadastro de Insumos'!E12)</f>
        <v/>
      </c>
      <c r="O6" s="257"/>
      <c r="P6" s="52" t="str">
        <f>Q10</f>
        <v/>
      </c>
      <c r="Q6" s="256" t="str">
        <f>IF(P6="","",'Cadastro de Insumos'!E24&amp;" - "&amp;'Cadastro de Insumos'!E25&amp;" - "&amp;'Cadastro de Insumos'!E26)</f>
        <v/>
      </c>
      <c r="R6" s="257"/>
      <c r="S6" s="52" t="str">
        <f>T10</f>
        <v/>
      </c>
      <c r="T6" s="256" t="str">
        <f>IF(S6="","",'Cadastro de Insumos'!E56&amp;" - "&amp;'Cadastro de Insumos'!E57&amp;" - "&amp;'Cadastro de Insumos'!E58*100&amp;"% - "&amp;'Cadastro de Insumos'!L58)</f>
        <v/>
      </c>
      <c r="U6" s="256"/>
      <c r="V6" s="257"/>
      <c r="W6" s="52" t="str">
        <f>X10</f>
        <v/>
      </c>
      <c r="X6" s="256"/>
      <c r="Y6" s="256"/>
      <c r="Z6" s="257"/>
    </row>
    <row r="7" spans="2:26" ht="28.5" customHeight="1" thickBot="1">
      <c r="B7" s="52"/>
      <c r="M7" s="59" t="str">
        <f>O10</f>
        <v/>
      </c>
      <c r="N7" s="258" t="str">
        <f>IF(M7="","",'Cadastro de Insumos'!E14&amp;" - "&amp;'Cadastro de Insumos'!E15&amp;" - "&amp;'Cadastro de Insumos'!E16)</f>
        <v/>
      </c>
      <c r="O7" s="259"/>
      <c r="P7" s="59" t="str">
        <f>R10</f>
        <v/>
      </c>
      <c r="Q7" s="258" t="str">
        <f>IF(P7="","",'Cadastro de Insumos'!E28&amp;" - "&amp;'Cadastro de Insumos'!E29&amp;" - "&amp;'Cadastro de Insumos'!E30)</f>
        <v/>
      </c>
      <c r="R7" s="259"/>
      <c r="S7" s="52" t="str">
        <f>U10</f>
        <v/>
      </c>
      <c r="T7" s="256" t="str">
        <f>IF(S7="","",'Cadastro de Insumos'!E60&amp;" - "&amp;'Cadastro de Insumos'!E61&amp;" - "&amp;'Cadastro de Insumos'!E62*100&amp;"% - "&amp;'Cadastro de Insumos'!L62)</f>
        <v/>
      </c>
      <c r="U7" s="256"/>
      <c r="V7" s="257"/>
      <c r="W7" s="52" t="str">
        <f>Y10</f>
        <v/>
      </c>
      <c r="X7" s="256"/>
      <c r="Y7" s="256"/>
      <c r="Z7" s="257"/>
    </row>
    <row r="8" spans="2:26" ht="28.5" customHeight="1" thickBot="1">
      <c r="B8" s="52"/>
      <c r="M8" s="50"/>
      <c r="N8" s="50"/>
      <c r="O8" s="50"/>
      <c r="Q8" s="50"/>
      <c r="R8" s="53"/>
      <c r="S8" s="59" t="str">
        <f>V10</f>
        <v/>
      </c>
      <c r="T8" s="258" t="str">
        <f>IF(S8="","",'Cadastro de Insumos'!E64&amp;" - "&amp;'Cadastro de Insumos'!E65&amp;" - "&amp;'Cadastro de Insumos'!E66*100&amp;"% - "&amp;'Cadastro de Insumos'!L66)</f>
        <v/>
      </c>
      <c r="U8" s="258"/>
      <c r="V8" s="259"/>
      <c r="W8" s="59" t="str">
        <f>Z10</f>
        <v/>
      </c>
      <c r="X8" s="258"/>
      <c r="Y8" s="258"/>
      <c r="Z8" s="259"/>
    </row>
    <row r="9" spans="2:26">
      <c r="B9" s="250" t="s">
        <v>65</v>
      </c>
      <c r="C9" s="248" t="s">
        <v>121</v>
      </c>
      <c r="D9" s="248"/>
      <c r="E9" s="248"/>
      <c r="F9" s="248"/>
      <c r="G9" s="248"/>
      <c r="H9" s="248"/>
      <c r="I9" s="248"/>
      <c r="J9" s="248"/>
      <c r="K9" s="248"/>
      <c r="L9" s="50"/>
      <c r="M9" s="247" t="s">
        <v>122</v>
      </c>
      <c r="N9" s="248"/>
      <c r="O9" s="249"/>
      <c r="P9" s="247" t="s">
        <v>123</v>
      </c>
      <c r="Q9" s="248"/>
      <c r="R9" s="249"/>
      <c r="S9" s="247" t="s">
        <v>124</v>
      </c>
      <c r="T9" s="248"/>
      <c r="U9" s="248"/>
      <c r="V9" s="249"/>
      <c r="W9" s="247" t="s">
        <v>125</v>
      </c>
      <c r="X9" s="248"/>
      <c r="Y9" s="248"/>
      <c r="Z9" s="249"/>
    </row>
    <row r="10" spans="2:26" ht="16.5" thickBot="1">
      <c r="B10" s="251"/>
      <c r="C10" s="60" t="s">
        <v>79</v>
      </c>
      <c r="D10" s="60" t="s">
        <v>126</v>
      </c>
      <c r="E10" s="60" t="s">
        <v>127</v>
      </c>
      <c r="F10" s="60" t="s">
        <v>128</v>
      </c>
      <c r="G10" s="60" t="s">
        <v>129</v>
      </c>
      <c r="H10" s="60" t="s">
        <v>130</v>
      </c>
      <c r="I10" s="60" t="s">
        <v>131</v>
      </c>
      <c r="J10" s="60" t="s">
        <v>132</v>
      </c>
      <c r="K10" s="60" t="s">
        <v>133</v>
      </c>
      <c r="L10" s="60" t="s">
        <v>134</v>
      </c>
      <c r="M10" s="59" t="s">
        <v>79</v>
      </c>
      <c r="N10" s="60" t="str">
        <f>IF('Cadastro de Insumos'!O10=FALSE,"","MCS1")</f>
        <v/>
      </c>
      <c r="O10" s="61" t="str">
        <f>IF('Cadastro de Insumos'!O14=FALSE,"","MCS2")</f>
        <v/>
      </c>
      <c r="P10" s="59" t="str">
        <f>IF('Cadastro de Insumos'!O20=FALSE,"","a1")</f>
        <v>a1</v>
      </c>
      <c r="Q10" s="60" t="str">
        <f>IF('Cadastro de Insumos'!O24=FALSE,"","a2")</f>
        <v/>
      </c>
      <c r="R10" s="61" t="str">
        <f>IF('Cadastro de Insumos'!O28=FALSE,"","a3")</f>
        <v/>
      </c>
      <c r="S10" s="59" t="str">
        <f>IF('Cadastro de Insumos'!O52=FALSE,"","Adt1"&amp;IF('Cadastro de Insumos'!P52=FALSE," - ml"," - g"))</f>
        <v/>
      </c>
      <c r="T10" s="60" t="str">
        <f>IF('Cadastro de Insumos'!O56=FALSE,"","Adt2"&amp;IF('Cadastro de Insumos'!P56=FALSE," - ml"," - g"))</f>
        <v/>
      </c>
      <c r="U10" s="60" t="str">
        <f>IF('Cadastro de Insumos'!O60=FALSE,"","Adt3"&amp;IF('Cadastro de Insumos'!P60=FALSE," - ml"," - g"))</f>
        <v/>
      </c>
      <c r="V10" s="61" t="str">
        <f>IF('Cadastro de Insumos'!O64=FALSE,"","Adt4"&amp;IF('Cadastro de Insumos'!P64=FALSE," - ml"," - g"))</f>
        <v/>
      </c>
      <c r="W10" s="59" t="str">
        <f>IF('Cadastro de Insumos'!O70=FALSE,"","Adc1"&amp;IF('Cadastro de Insumos'!P70=FALSE," - ml"," - g"))</f>
        <v/>
      </c>
      <c r="X10" s="60" t="str">
        <f>IF('Cadastro de Insumos'!O74=FALSE,"","Adc2"&amp;IF('Cadastro de Insumos'!P74=FALSE," - ml"," - g"))</f>
        <v/>
      </c>
      <c r="Y10" s="60" t="str">
        <f>IF('Cadastro de Insumos'!O78=FALSE,"","Adc4"&amp;IF('Cadastro de Insumos'!P78=FALSE," - ml"," - g"))</f>
        <v/>
      </c>
      <c r="Z10" s="61" t="str">
        <f>IF('Cadastro de Insumos'!O82=FALSE,"","Adc4"&amp;IF('Cadastro de Insumos'!P82=FALSE," - ml"," - g"))</f>
        <v/>
      </c>
    </row>
    <row r="11" spans="2:26" ht="16.5" thickBot="1">
      <c r="B11" s="62">
        <f>'Escopo de Estudo'!J30</f>
        <v>0.51</v>
      </c>
      <c r="C11" s="27">
        <f>1*'Cadastro de Insumos'!$P$6</f>
        <v>1</v>
      </c>
      <c r="D11" s="27">
        <f>1*'Cadastro de Insumos'!$P$10</f>
        <v>0</v>
      </c>
      <c r="E11" s="27">
        <f>1*'Cadastro de Insumos'!$P$14</f>
        <v>0</v>
      </c>
      <c r="F11" s="72">
        <f>(B11*(1+$B$6)-1)*'Cadastro de Insumos'!$P$20</f>
        <v>1.7990000000000002</v>
      </c>
      <c r="G11" s="72">
        <f>(B11*(1+$B$6)-1)*'Cadastro de Insumos'!$P$24</f>
        <v>0</v>
      </c>
      <c r="H11" s="72">
        <f>(B11*(1+$B$6)-1)*'Cadastro de Insumos'!$P$28</f>
        <v>0</v>
      </c>
      <c r="I11" s="72">
        <f>($B$6-(SUM(F11:H11)))*'Cadastro de Insumos'!$P$34</f>
        <v>2.5205999999999995</v>
      </c>
      <c r="J11" s="72">
        <f>($B$6-(SUM(F11:H11)))*'Cadastro de Insumos'!$P$38</f>
        <v>1.6803999999999999</v>
      </c>
      <c r="K11" s="72">
        <f>($B$6-(SUM(F11:H11)))*'Cadastro de Insumos'!$P$42</f>
        <v>0</v>
      </c>
      <c r="L11" s="72">
        <f>($B$6-(SUM(F11:H11)))*'Cadastro de Insumos'!$P$46</f>
        <v>0</v>
      </c>
      <c r="M11" s="54">
        <f>IF(C11=0,"",('Escopo de Estudo'!$D$30/SUM('Ficha de Dosagem - D'!I11:L11))*C11)</f>
        <v>4.7607712449416812</v>
      </c>
      <c r="N11" s="72" t="str">
        <f>IF(N10="","",('Escopo de Estudo'!$D$30/SUM('Ficha de Dosagem - D'!I11:L11))*D11)</f>
        <v/>
      </c>
      <c r="O11" s="55" t="str">
        <f>IF(O10="","",('Escopo de Estudo'!$D$30/SUM('Ficha de Dosagem - D'!I11:L11))*E11)</f>
        <v/>
      </c>
      <c r="P11" s="54">
        <f>IF(F11=0,"",SUM(M11:O11)*F11)</f>
        <v>8.5646274696500857</v>
      </c>
      <c r="Q11" s="72" t="str">
        <f>IF($Q$10="","",SUM(M11:O11)*G11)</f>
        <v/>
      </c>
      <c r="R11" s="55" t="str">
        <f>IF($R$10="","",SUM(M11:O11)*H11)</f>
        <v/>
      </c>
      <c r="S11" s="54" t="str">
        <f>IF('Cadastro de Insumos'!$O$52=FALSE,"",IF('Cadastro de Insumos'!$P$52=FALSE,(('Cadastro de Insumos'!$E$54*M11)/'Cadastro de Insumos'!$L$54)*1000,(('Cadastro de Insumos'!$E$54*M11)*1000)))</f>
        <v/>
      </c>
      <c r="T11" s="72" t="str">
        <f>IF('Cadastro de Insumos'!$O$56=FALSE,"",IF('Cadastro de Insumos'!$P$56=FALSE,(('Cadastro de Insumos'!$E$58*M11)/'Cadastro de Insumos'!$L$58)*1000,(('Cadastro de Insumos'!$E$58*M11)*1000)))</f>
        <v/>
      </c>
      <c r="U11" s="72" t="str">
        <f>IF('Cadastro de Insumos'!$O$60=FALSE,"",IF('Cadastro de Insumos'!$P$60=FALSE,(('Cadastro de Insumos'!$E$62*M11)/'Cadastro de Insumos'!$L$62)*1000,(('Cadastro de Insumos'!$E$62*M11)*1000)))</f>
        <v/>
      </c>
      <c r="V11" s="55" t="str">
        <f>IF('Cadastro de Insumos'!$O$64=FALSE,"",IF('Cadastro de Insumos'!$P$64=FALSE,(('Cadastro de Insumos'!$E$66*M11)/'Cadastro de Insumos'!$L$66)*1000,(('Cadastro de Insumos'!$E$66*M11)*1000)))</f>
        <v/>
      </c>
      <c r="W11" s="54" t="str">
        <f>IF('Cadastro de Insumos'!$O$70=FALSE,"",IF('Cadastro de Insumos'!$P$70=FALSE,(('Cadastro de Insumos'!$E$72*M11)/'Cadastro de Insumos'!$L$72)*1000,(('Cadastro de Insumos'!$E$72*M11)*1000)))</f>
        <v/>
      </c>
      <c r="X11" s="72" t="str">
        <f>IF('Cadastro de Insumos'!$O$74=FALSE,"",IF('Cadastro de Insumos'!$P$74=FALSE,(('Cadastro de Insumos'!$E$76*M11)/'Cadastro de Insumos'!$L$76)*1000,(('Cadastro de Insumos'!$E$76*M11)*1000)))</f>
        <v/>
      </c>
      <c r="Y11" s="72" t="str">
        <f>IF('Cadastro de Insumos'!$O$78=FALSE,"",IF('Cadastro de Insumos'!$P$78=FALSE,(('Cadastro de Insumos'!$E$80*M11)/'Cadastro de Insumos'!$L$80)*1000,(('Cadastro de Insumos'!$E$80*M11)*1000)))</f>
        <v/>
      </c>
      <c r="Z11" s="55" t="str">
        <f>IF('Cadastro de Insumos'!$O$82=FALSE,"",IF('Cadastro de Insumos'!$P$82=FALSE,(('Cadastro de Insumos'!$E$84*M11)/'Cadastro de Insumos'!$L$84)*1000,(('Cadastro de Insumos'!$E$84*M11)*1000)))</f>
        <v/>
      </c>
    </row>
    <row r="12" spans="2:26">
      <c r="B12" s="252">
        <f>B11+0.01</f>
        <v>0.52</v>
      </c>
      <c r="C12" s="50"/>
      <c r="D12" s="50"/>
      <c r="E12" s="50"/>
      <c r="F12" s="63"/>
      <c r="G12" s="63"/>
      <c r="H12" s="63"/>
      <c r="I12" s="63"/>
      <c r="J12" s="63"/>
      <c r="K12" s="63"/>
      <c r="L12" s="63"/>
      <c r="M12" s="64" t="str">
        <f>IF(M13="","","+"&amp;ROUND(M13-M11,3))</f>
        <v>+0,056</v>
      </c>
      <c r="N12" s="65" t="str">
        <f>IF(N13="","","+"&amp;ROUND(N13-N11,3))</f>
        <v/>
      </c>
      <c r="O12" s="66" t="str">
        <f>IF(O13="","","+"&amp;ROUND(O13-O11,3))</f>
        <v/>
      </c>
      <c r="P12" s="64" t="str">
        <f t="shared" ref="P12:Z12" si="0">IF(P13="","","+"&amp;ROUND(P13-P11,3))</f>
        <v>+0,337</v>
      </c>
      <c r="Q12" s="65" t="str">
        <f t="shared" si="0"/>
        <v/>
      </c>
      <c r="R12" s="67" t="str">
        <f t="shared" si="0"/>
        <v/>
      </c>
      <c r="S12" s="64" t="str">
        <f t="shared" si="0"/>
        <v/>
      </c>
      <c r="T12" s="65" t="str">
        <f t="shared" si="0"/>
        <v/>
      </c>
      <c r="U12" s="65" t="str">
        <f t="shared" si="0"/>
        <v/>
      </c>
      <c r="V12" s="67" t="str">
        <f t="shared" si="0"/>
        <v/>
      </c>
      <c r="W12" s="64" t="str">
        <f t="shared" si="0"/>
        <v/>
      </c>
      <c r="X12" s="65" t="str">
        <f t="shared" si="0"/>
        <v/>
      </c>
      <c r="Y12" s="65" t="str">
        <f t="shared" si="0"/>
        <v/>
      </c>
      <c r="Z12" s="67" t="str">
        <f t="shared" si="0"/>
        <v/>
      </c>
    </row>
    <row r="13" spans="2:26" ht="16.5" thickBot="1">
      <c r="B13" s="253"/>
      <c r="C13" s="60">
        <f>1*'Cadastro de Insumos'!$P$6</f>
        <v>1</v>
      </c>
      <c r="D13" s="60">
        <f>1*'Cadastro de Insumos'!$P$10</f>
        <v>0</v>
      </c>
      <c r="E13" s="60">
        <f>1*'Cadastro de Insumos'!$P$14</f>
        <v>0</v>
      </c>
      <c r="F13" s="57">
        <f>(B12*(1+$B$6)-1)*'Cadastro de Insumos'!$P$20</f>
        <v>1.8479999999999999</v>
      </c>
      <c r="G13" s="57">
        <f>(B12*(1+$B$6)-1)*'Cadastro de Insumos'!$P$24</f>
        <v>0</v>
      </c>
      <c r="H13" s="57">
        <f>(B12*(1+$B$6)-1)*'Cadastro de Insumos'!$P$28</f>
        <v>0</v>
      </c>
      <c r="I13" s="57">
        <f>($B$6-(SUM(F13:H13)))*'Cadastro de Insumos'!$P$34</f>
        <v>2.4912000000000001</v>
      </c>
      <c r="J13" s="57">
        <f>($B$6-(SUM(F13:H13)))*'Cadastro de Insumos'!$P$38</f>
        <v>1.6608000000000001</v>
      </c>
      <c r="K13" s="57">
        <f>($B$6-(SUM(F13:H13)))*'Cadastro de Insumos'!$P$42</f>
        <v>0</v>
      </c>
      <c r="L13" s="57">
        <f>($B$6-(SUM(F13:H13)))*'Cadastro de Insumos'!$P$46</f>
        <v>0</v>
      </c>
      <c r="M13" s="56">
        <f>IF(C13=0,"",('Escopo de Estudo'!$D$30/SUM('Ficha de Dosagem - D'!I13:L13))*C13)</f>
        <v>4.8169556840077066</v>
      </c>
      <c r="N13" s="57" t="str">
        <f>IF(N10="","",('Escopo de Estudo'!$D$30/SUM('Ficha de Dosagem - D'!I13:L13))*D13)</f>
        <v/>
      </c>
      <c r="O13" s="58" t="str">
        <f>IF(O10="","",('Escopo de Estudo'!$D$30/SUM('Ficha de Dosagem - D'!I13:L13))*E13)</f>
        <v/>
      </c>
      <c r="P13" s="56">
        <f t="shared" ref="P13:P31" si="1">IF(F13=0,"",SUM(M13:O13)*F13)</f>
        <v>8.9017341040462412</v>
      </c>
      <c r="Q13" s="72" t="str">
        <f>IF($Q$10="","",SUM(M13:O13)*G13)</f>
        <v/>
      </c>
      <c r="R13" s="55" t="str">
        <f>IF($R$10="","",SUM(M13:O13)*H13)</f>
        <v/>
      </c>
      <c r="S13" s="56" t="str">
        <f>IF('Cadastro de Insumos'!$O$52=FALSE,"",IF('Cadastro de Insumos'!$P$52=FALSE,(('Cadastro de Insumos'!$E$54*M13)/'Cadastro de Insumos'!$L$54)*1000,(('Cadastro de Insumos'!$E$54*M13)*1000)))</f>
        <v/>
      </c>
      <c r="T13" s="57" t="str">
        <f>IF('Cadastro de Insumos'!$O$56=FALSE,"",IF('Cadastro de Insumos'!$P$56=FALSE,(('Cadastro de Insumos'!$E$58*M13)/'Cadastro de Insumos'!$L$58)*1000,(('Cadastro de Insumos'!$E$58*M13)*1000)))</f>
        <v/>
      </c>
      <c r="U13" s="57" t="str">
        <f>IF('Cadastro de Insumos'!$O$60=FALSE,"",IF('Cadastro de Insumos'!$P$60=FALSE,(('Cadastro de Insumos'!$E$62*M13)/'Cadastro de Insumos'!$L$62)*1000,(('Cadastro de Insumos'!$E$62*M13)*1000)))</f>
        <v/>
      </c>
      <c r="V13" s="58" t="str">
        <f>IF('Cadastro de Insumos'!$O$64=FALSE,"",IF('Cadastro de Insumos'!$P$64=FALSE,(('Cadastro de Insumos'!$E$66*M13)/'Cadastro de Insumos'!$L$66)*1000,(('Cadastro de Insumos'!$E$66*M13)*1000)))</f>
        <v/>
      </c>
      <c r="W13" s="56" t="str">
        <f>IF('Cadastro de Insumos'!$O$70=FALSE,"",IF('Cadastro de Insumos'!$P$70=FALSE,(('Cadastro de Insumos'!$E$72*M13)/'Cadastro de Insumos'!$L$72)*1000,(('Cadastro de Insumos'!$E$72*M13)*1000)))</f>
        <v/>
      </c>
      <c r="X13" s="57" t="str">
        <f>IF('Cadastro de Insumos'!$O$74=FALSE,"",IF('Cadastro de Insumos'!$P$74=FALSE,(('Cadastro de Insumos'!$E$76*M13)/'Cadastro de Insumos'!$L$76)*1000,(('Cadastro de Insumos'!$E$76*M13)*1000)))</f>
        <v/>
      </c>
      <c r="Y13" s="57" t="str">
        <f>IF('Cadastro de Insumos'!$O$78=FALSE,"",IF('Cadastro de Insumos'!$P$78=FALSE,(('Cadastro de Insumos'!$E$80*M13)/'Cadastro de Insumos'!$L$80)*1000,(('Cadastro de Insumos'!$E$80*M13)*1000)))</f>
        <v/>
      </c>
      <c r="Z13" s="58" t="str">
        <f>IF('Cadastro de Insumos'!$O$82=FALSE,"",IF('Cadastro de Insumos'!$P$82=FALSE,(('Cadastro de Insumos'!$E$84*M13)/'Cadastro de Insumos'!$L$84)*1000,(('Cadastro de Insumos'!$E$84*M13)*1000)))</f>
        <v/>
      </c>
    </row>
    <row r="14" spans="2:26">
      <c r="B14" s="252">
        <f>B12+0.01</f>
        <v>0.53</v>
      </c>
      <c r="C14" s="50"/>
      <c r="D14" s="50"/>
      <c r="E14" s="50"/>
      <c r="F14" s="63"/>
      <c r="G14" s="63"/>
      <c r="H14" s="63"/>
      <c r="I14" s="63"/>
      <c r="J14" s="63"/>
      <c r="K14" s="63"/>
      <c r="L14" s="63"/>
      <c r="M14" s="64" t="str">
        <f>IF(M15="","","+"&amp;ROUND(M15-M13,3))</f>
        <v>+0,058</v>
      </c>
      <c r="N14" s="65" t="str">
        <f>IF(N15="","","+"&amp;ROUND(N15-N13,3))</f>
        <v/>
      </c>
      <c r="O14" s="66" t="str">
        <f>IF(O15="","","+"&amp;ROUND(O15-O13,3))</f>
        <v/>
      </c>
      <c r="P14" s="64" t="str">
        <f t="shared" ref="P14:Z14" si="2">IF(P15="","","+"&amp;ROUND(P15-P13,3))</f>
        <v>+0,345</v>
      </c>
      <c r="Q14" s="65" t="str">
        <f t="shared" si="2"/>
        <v/>
      </c>
      <c r="R14" s="67" t="str">
        <f t="shared" si="2"/>
        <v/>
      </c>
      <c r="S14" s="64" t="str">
        <f t="shared" si="2"/>
        <v/>
      </c>
      <c r="T14" s="65" t="str">
        <f t="shared" si="2"/>
        <v/>
      </c>
      <c r="U14" s="65" t="str">
        <f t="shared" si="2"/>
        <v/>
      </c>
      <c r="V14" s="67" t="str">
        <f t="shared" si="2"/>
        <v/>
      </c>
      <c r="W14" s="64" t="str">
        <f t="shared" si="2"/>
        <v/>
      </c>
      <c r="X14" s="65" t="str">
        <f t="shared" si="2"/>
        <v/>
      </c>
      <c r="Y14" s="65" t="str">
        <f t="shared" si="2"/>
        <v/>
      </c>
      <c r="Z14" s="67" t="str">
        <f t="shared" si="2"/>
        <v/>
      </c>
    </row>
    <row r="15" spans="2:26" ht="16.5" thickBot="1">
      <c r="B15" s="253"/>
      <c r="C15" s="60">
        <f>1*'Cadastro de Insumos'!$P$6</f>
        <v>1</v>
      </c>
      <c r="D15" s="60">
        <f>1*'Cadastro de Insumos'!$P$10</f>
        <v>0</v>
      </c>
      <c r="E15" s="60">
        <f>1*'Cadastro de Insumos'!$P$14</f>
        <v>0</v>
      </c>
      <c r="F15" s="57">
        <f>(B14*(1+$B$6)-1)*'Cadastro de Insumos'!$P$20</f>
        <v>1.8969999999999998</v>
      </c>
      <c r="G15" s="57">
        <f>(B14*(1+$B$6)-1)*'Cadastro de Insumos'!$P$24</f>
        <v>0</v>
      </c>
      <c r="H15" s="57">
        <f>(B14*(1+$B$6)-1)*'Cadastro de Insumos'!$P$28</f>
        <v>0</v>
      </c>
      <c r="I15" s="57">
        <f>($B$6-(SUM(F15:H15)))*'Cadastro de Insumos'!$P$34</f>
        <v>2.4617999999999998</v>
      </c>
      <c r="J15" s="57">
        <f>($B$6-(SUM(F15:H15)))*'Cadastro de Insumos'!$P$38</f>
        <v>1.6412</v>
      </c>
      <c r="K15" s="57">
        <f>($B$6-(SUM(F15:H15)))*'Cadastro de Insumos'!$P$42</f>
        <v>0</v>
      </c>
      <c r="L15" s="57">
        <f>($B$6-(SUM(F15:H15)))*'Cadastro de Insumos'!$P$46</f>
        <v>0</v>
      </c>
      <c r="M15" s="56">
        <f>IF(C15=0,"",('Escopo de Estudo'!$D$30/SUM('Ficha de Dosagem - D'!I15:L15))*C15)</f>
        <v>4.8744820862783333</v>
      </c>
      <c r="N15" s="57" t="str">
        <f>IF(N11="","",('Escopo de Estudo'!$D$30/SUM('Ficha de Dosagem - D'!I15:L15))*D15)</f>
        <v/>
      </c>
      <c r="O15" s="58" t="str">
        <f>IF(O10="","",('Escopo de Estudo'!$D$30/SUM('Ficha de Dosagem - D'!I15:L15))*E15)</f>
        <v/>
      </c>
      <c r="P15" s="56">
        <f t="shared" si="1"/>
        <v>9.2468925176699965</v>
      </c>
      <c r="Q15" s="72" t="str">
        <f>IF($Q$10="","",SUM(M15:O15)*G15)</f>
        <v/>
      </c>
      <c r="R15" s="55" t="str">
        <f>IF($R$10="","",SUM(M15:O15)*H15)</f>
        <v/>
      </c>
      <c r="S15" s="56" t="str">
        <f>IF('Cadastro de Insumos'!$O$52=FALSE,"",IF('Cadastro de Insumos'!$P$52=FALSE,(('Cadastro de Insumos'!$E$54*M15)/'Cadastro de Insumos'!$L$54)*1000,(('Cadastro de Insumos'!$E$54*M15)*1000)))</f>
        <v/>
      </c>
      <c r="T15" s="57" t="str">
        <f>IF('Cadastro de Insumos'!$O$56=FALSE,"",IF('Cadastro de Insumos'!$P$56=FALSE,(('Cadastro de Insumos'!$E$58*M15)/'Cadastro de Insumos'!$L$58)*1000,(('Cadastro de Insumos'!$E$58*M15)*1000)))</f>
        <v/>
      </c>
      <c r="U15" s="57" t="str">
        <f>IF('Cadastro de Insumos'!$O$60=FALSE,"",IF('Cadastro de Insumos'!$P$60=FALSE,(('Cadastro de Insumos'!$E$62*M15)/'Cadastro de Insumos'!$L$62)*1000,(('Cadastro de Insumos'!$E$62*M15)*1000)))</f>
        <v/>
      </c>
      <c r="V15" s="58" t="str">
        <f>IF('Cadastro de Insumos'!$O$64=FALSE,"",IF('Cadastro de Insumos'!$P$64=FALSE,(('Cadastro de Insumos'!$E$66*M15)/'Cadastro de Insumos'!$L$66)*1000,(('Cadastro de Insumos'!$E$66*M15)*1000)))</f>
        <v/>
      </c>
      <c r="W15" s="56" t="str">
        <f>IF('Cadastro de Insumos'!$O$70=FALSE,"",IF('Cadastro de Insumos'!$P$70=FALSE,(('Cadastro de Insumos'!$E$72*M15)/'Cadastro de Insumos'!$L$72)*1000,(('Cadastro de Insumos'!$E$72*M15)*1000)))</f>
        <v/>
      </c>
      <c r="X15" s="57" t="str">
        <f>IF('Cadastro de Insumos'!$O$74=FALSE,"",IF('Cadastro de Insumos'!$P$74=FALSE,(('Cadastro de Insumos'!$E$76*M15)/'Cadastro de Insumos'!$L$76)*1000,(('Cadastro de Insumos'!$E$76*M15)*1000)))</f>
        <v/>
      </c>
      <c r="Y15" s="57" t="str">
        <f>IF('Cadastro de Insumos'!$O$78=FALSE,"",IF('Cadastro de Insumos'!$P$78=FALSE,(('Cadastro de Insumos'!$E$80*M15)/'Cadastro de Insumos'!$L$80)*1000,(('Cadastro de Insumos'!$E$80*M15)*1000)))</f>
        <v/>
      </c>
      <c r="Z15" s="58" t="str">
        <f>IF('Cadastro de Insumos'!$O$82=FALSE,"",IF('Cadastro de Insumos'!$P$82=FALSE,(('Cadastro de Insumos'!$E$84*M15)/'Cadastro de Insumos'!$L$84)*1000,(('Cadastro de Insumos'!$E$84*M15)*1000)))</f>
        <v/>
      </c>
    </row>
    <row r="16" spans="2:26">
      <c r="B16" s="252">
        <f>B14+0.01</f>
        <v>0.54</v>
      </c>
      <c r="C16" s="50"/>
      <c r="D16" s="50"/>
      <c r="E16" s="50"/>
      <c r="F16" s="63"/>
      <c r="G16" s="63"/>
      <c r="H16" s="63"/>
      <c r="I16" s="63"/>
      <c r="J16" s="63"/>
      <c r="K16" s="63"/>
      <c r="L16" s="63"/>
      <c r="M16" s="64" t="str">
        <f>IF(M17="","","+"&amp;ROUND(M17-M15,3))</f>
        <v>+0,059</v>
      </c>
      <c r="N16" s="65" t="str">
        <f>IF(N17="","","+"&amp;ROUND(N17-N15,3))</f>
        <v/>
      </c>
      <c r="O16" s="66" t="str">
        <f>IF(O17="","","+"&amp;ROUND(O17-O15,3))</f>
        <v/>
      </c>
      <c r="P16" s="64" t="str">
        <f t="shared" ref="P16:Z16" si="3">IF(P17="","","+"&amp;ROUND(P17-P15,3))</f>
        <v>+0,354</v>
      </c>
      <c r="Q16" s="65" t="str">
        <f t="shared" si="3"/>
        <v/>
      </c>
      <c r="R16" s="67" t="str">
        <f t="shared" si="3"/>
        <v/>
      </c>
      <c r="S16" s="64" t="str">
        <f t="shared" si="3"/>
        <v/>
      </c>
      <c r="T16" s="65" t="str">
        <f t="shared" si="3"/>
        <v/>
      </c>
      <c r="U16" s="65" t="str">
        <f t="shared" si="3"/>
        <v/>
      </c>
      <c r="V16" s="67" t="str">
        <f t="shared" si="3"/>
        <v/>
      </c>
      <c r="W16" s="64" t="str">
        <f t="shared" si="3"/>
        <v/>
      </c>
      <c r="X16" s="65" t="str">
        <f t="shared" si="3"/>
        <v/>
      </c>
      <c r="Y16" s="65" t="str">
        <f t="shared" si="3"/>
        <v/>
      </c>
      <c r="Z16" s="67" t="str">
        <f t="shared" si="3"/>
        <v/>
      </c>
    </row>
    <row r="17" spans="2:26" ht="16.5" thickBot="1">
      <c r="B17" s="253"/>
      <c r="C17" s="60">
        <f>1*'Cadastro de Insumos'!$P$6</f>
        <v>1</v>
      </c>
      <c r="D17" s="60">
        <f>1*'Cadastro de Insumos'!$P$10</f>
        <v>0</v>
      </c>
      <c r="E17" s="60">
        <f>1*'Cadastro de Insumos'!$P$14</f>
        <v>0</v>
      </c>
      <c r="F17" s="57">
        <f>(B16*(1+$B$6)-1)*'Cadastro de Insumos'!$P$20</f>
        <v>1.946</v>
      </c>
      <c r="G17" s="57">
        <f>(B16*(1+$B$6)-1)*'Cadastro de Insumos'!$P$24</f>
        <v>0</v>
      </c>
      <c r="H17" s="57">
        <f>(B16*(1+$B$6)-1)*'Cadastro de Insumos'!$P$28</f>
        <v>0</v>
      </c>
      <c r="I17" s="57">
        <f>($B$6-(SUM(F17:H17)))*'Cadastro de Insumos'!$P$34</f>
        <v>2.4323999999999999</v>
      </c>
      <c r="J17" s="57">
        <f>($B$6-(SUM(F17:H17)))*'Cadastro de Insumos'!$P$38</f>
        <v>1.6216000000000002</v>
      </c>
      <c r="K17" s="57">
        <f>($B$6-(SUM(F17:H17)))*'Cadastro de Insumos'!$P$42</f>
        <v>0</v>
      </c>
      <c r="L17" s="57">
        <f>($B$6-(SUM(F17:H17)))*'Cadastro de Insumos'!$P$46</f>
        <v>0</v>
      </c>
      <c r="M17" s="56">
        <f>IF(C17=0,"",('Escopo de Estudo'!$D$30/SUM('Ficha de Dosagem - D'!I17:L17))*C17)</f>
        <v>4.9333991119881597</v>
      </c>
      <c r="N17" s="57" t="str">
        <f>IF(N10="","",('Escopo de Estudo'!$D$30/SUM('Ficha de Dosagem - D'!I17:L17))*D17)</f>
        <v/>
      </c>
      <c r="O17" s="58" t="str">
        <f>IF(O10="","",('Escopo de Estudo'!$D$30/SUM('Ficha de Dosagem - D'!I17:L17))*E17)</f>
        <v/>
      </c>
      <c r="P17" s="56">
        <f t="shared" si="1"/>
        <v>9.6003946719289583</v>
      </c>
      <c r="Q17" s="72" t="str">
        <f>IF($Q$10="","",SUM(M17:O17)*G17)</f>
        <v/>
      </c>
      <c r="R17" s="55" t="str">
        <f>IF($R$10="","",SUM(M17:O17)*H17)</f>
        <v/>
      </c>
      <c r="S17" s="56" t="str">
        <f>IF('Cadastro de Insumos'!$O$52=FALSE,"",IF('Cadastro de Insumos'!$P$52=FALSE,(('Cadastro de Insumos'!$E$54*M17)/'Cadastro de Insumos'!$L$54)*1000,(('Cadastro de Insumos'!$E$54*M17)*1000)))</f>
        <v/>
      </c>
      <c r="T17" s="57" t="str">
        <f>IF('Cadastro de Insumos'!$O$56=FALSE,"",IF('Cadastro de Insumos'!$P$56=FALSE,(('Cadastro de Insumos'!$E$58*M17)/'Cadastro de Insumos'!$L$58)*1000,(('Cadastro de Insumos'!$E$58*M17)*1000)))</f>
        <v/>
      </c>
      <c r="U17" s="57" t="str">
        <f>IF('Cadastro de Insumos'!$O$60=FALSE,"",IF('Cadastro de Insumos'!$P$60=FALSE,(('Cadastro de Insumos'!$E$62*M17)/'Cadastro de Insumos'!$L$62)*1000,(('Cadastro de Insumos'!$E$62*M17)*1000)))</f>
        <v/>
      </c>
      <c r="V17" s="58" t="str">
        <f>IF('Cadastro de Insumos'!$O$64=FALSE,"",IF('Cadastro de Insumos'!$P$64=FALSE,(('Cadastro de Insumos'!$E$66*M17)/'Cadastro de Insumos'!$L$66)*1000,(('Cadastro de Insumos'!$E$66*M17)*1000)))</f>
        <v/>
      </c>
      <c r="W17" s="56" t="str">
        <f>IF('Cadastro de Insumos'!$O$70=FALSE,"",IF('Cadastro de Insumos'!$P$70=FALSE,(('Cadastro de Insumos'!$E$72*M17)/'Cadastro de Insumos'!$L$72)*1000,(('Cadastro de Insumos'!$E$72*M17)*1000)))</f>
        <v/>
      </c>
      <c r="X17" s="57" t="str">
        <f>IF('Cadastro de Insumos'!$O$74=FALSE,"",IF('Cadastro de Insumos'!$P$74=FALSE,(('Cadastro de Insumos'!$E$76*M17)/'Cadastro de Insumos'!$L$76)*1000,(('Cadastro de Insumos'!$E$76*M17)*1000)))</f>
        <v/>
      </c>
      <c r="Y17" s="57" t="str">
        <f>IF('Cadastro de Insumos'!$O$78=FALSE,"",IF('Cadastro de Insumos'!$P$78=FALSE,(('Cadastro de Insumos'!$E$80*M17)/'Cadastro de Insumos'!$L$80)*1000,(('Cadastro de Insumos'!$E$80*M17)*1000)))</f>
        <v/>
      </c>
      <c r="Z17" s="58" t="str">
        <f>IF('Cadastro de Insumos'!$O$82=FALSE,"",IF('Cadastro de Insumos'!$P$82=FALSE,(('Cadastro de Insumos'!$E$84*M17)/'Cadastro de Insumos'!$L$84)*1000,(('Cadastro de Insumos'!$E$84*M17)*1000)))</f>
        <v/>
      </c>
    </row>
    <row r="18" spans="2:26">
      <c r="B18" s="252">
        <f>B16+0.01</f>
        <v>0.55000000000000004</v>
      </c>
      <c r="C18" s="50"/>
      <c r="D18" s="50"/>
      <c r="E18" s="50"/>
      <c r="F18" s="63"/>
      <c r="G18" s="63"/>
      <c r="H18" s="63"/>
      <c r="I18" s="63"/>
      <c r="J18" s="63"/>
      <c r="K18" s="63"/>
      <c r="L18" s="63"/>
      <c r="M18" s="64" t="str">
        <f>IF(M19="","","+"&amp;ROUND(M19-M17,3))</f>
        <v>+0,06</v>
      </c>
      <c r="N18" s="65" t="str">
        <f>IF(N19="","","+"&amp;ROUND(N19-N17,3))</f>
        <v/>
      </c>
      <c r="O18" s="66" t="str">
        <f>IF(O19="","","+"&amp;ROUND(O19-O17,3))</f>
        <v/>
      </c>
      <c r="P18" s="64" t="str">
        <f t="shared" ref="P18:Z18" si="4">IF(P19="","","+"&amp;ROUND(P19-P17,3))</f>
        <v>+0,362</v>
      </c>
      <c r="Q18" s="65" t="str">
        <f t="shared" si="4"/>
        <v/>
      </c>
      <c r="R18" s="67" t="str">
        <f t="shared" si="4"/>
        <v/>
      </c>
      <c r="S18" s="64" t="str">
        <f t="shared" si="4"/>
        <v/>
      </c>
      <c r="T18" s="65" t="str">
        <f t="shared" si="4"/>
        <v/>
      </c>
      <c r="U18" s="65" t="str">
        <f t="shared" si="4"/>
        <v/>
      </c>
      <c r="V18" s="67" t="str">
        <f t="shared" si="4"/>
        <v/>
      </c>
      <c r="W18" s="64" t="str">
        <f t="shared" si="4"/>
        <v/>
      </c>
      <c r="X18" s="65" t="str">
        <f t="shared" si="4"/>
        <v/>
      </c>
      <c r="Y18" s="65" t="str">
        <f t="shared" si="4"/>
        <v/>
      </c>
      <c r="Z18" s="67" t="str">
        <f t="shared" si="4"/>
        <v/>
      </c>
    </row>
    <row r="19" spans="2:26" ht="16.5" thickBot="1">
      <c r="B19" s="253"/>
      <c r="C19" s="60">
        <f>1*'Cadastro de Insumos'!$P$6</f>
        <v>1</v>
      </c>
      <c r="D19" s="60">
        <f>1*'Cadastro de Insumos'!$P$10</f>
        <v>0</v>
      </c>
      <c r="E19" s="60">
        <f>1*'Cadastro de Insumos'!$P$14</f>
        <v>0</v>
      </c>
      <c r="F19" s="57">
        <f>(B18*(1+$B$6)-1)*'Cadastro de Insumos'!$P$20</f>
        <v>1.9950000000000003</v>
      </c>
      <c r="G19" s="57">
        <f>(B18*(1+$B$6)-1)*'Cadastro de Insumos'!$P$24</f>
        <v>0</v>
      </c>
      <c r="H19" s="57">
        <f>(B18*(1+$B$6)-1)*'Cadastro de Insumos'!$P$28</f>
        <v>0</v>
      </c>
      <c r="I19" s="57">
        <f>($B$6-(SUM(F19:H19)))*'Cadastro de Insumos'!$P$34</f>
        <v>2.403</v>
      </c>
      <c r="J19" s="57">
        <f>($B$6-(SUM(F19:H19)))*'Cadastro de Insumos'!$P$38</f>
        <v>1.6020000000000001</v>
      </c>
      <c r="K19" s="57">
        <f>($B$6-(SUM(F19:H19)))*'Cadastro de Insumos'!$P$42</f>
        <v>0</v>
      </c>
      <c r="L19" s="57">
        <f>($B$6-(SUM(F19:H19)))*'Cadastro de Insumos'!$P$46</f>
        <v>0</v>
      </c>
      <c r="M19" s="56">
        <f>IF(C19=0,"",('Escopo de Estudo'!$D$30/SUM('Ficha de Dosagem - D'!I19:L19))*C19)</f>
        <v>4.9937578027465666</v>
      </c>
      <c r="N19" s="57" t="str">
        <f>IF(N10="","",('Escopo de Estudo'!$D$30/SUM('Ficha de Dosagem - D'!I19:L19))*D19)</f>
        <v/>
      </c>
      <c r="O19" s="58" t="str">
        <f>IF(O10="","",('Escopo de Estudo'!$D$30/SUM('Ficha de Dosagem - D'!I19:L19))*E19)</f>
        <v/>
      </c>
      <c r="P19" s="56">
        <f t="shared" si="1"/>
        <v>9.9625468164794011</v>
      </c>
      <c r="Q19" s="72" t="str">
        <f>IF($Q$10="","",SUM(M19:O19)*G19)</f>
        <v/>
      </c>
      <c r="R19" s="55" t="str">
        <f>IF($R$10="","",SUM(M19:O19)*H19)</f>
        <v/>
      </c>
      <c r="S19" s="56" t="str">
        <f>IF('Cadastro de Insumos'!$O$52=FALSE,"",IF('Cadastro de Insumos'!$P$52=FALSE,(('Cadastro de Insumos'!$E$54*M19)/'Cadastro de Insumos'!$L$54)*1000,(('Cadastro de Insumos'!$E$54*M19)*1000)))</f>
        <v/>
      </c>
      <c r="T19" s="57" t="str">
        <f>IF('Cadastro de Insumos'!$O$56=FALSE,"",IF('Cadastro de Insumos'!$P$56=FALSE,(('Cadastro de Insumos'!$E$58*M19)/'Cadastro de Insumos'!$L$58)*1000,(('Cadastro de Insumos'!$E$58*M19)*1000)))</f>
        <v/>
      </c>
      <c r="U19" s="57" t="str">
        <f>IF('Cadastro de Insumos'!$O$60=FALSE,"",IF('Cadastro de Insumos'!$P$60=FALSE,(('Cadastro de Insumos'!$E$62*M19)/'Cadastro de Insumos'!$L$62)*1000,(('Cadastro de Insumos'!$E$62*M19)*1000)))</f>
        <v/>
      </c>
      <c r="V19" s="58" t="str">
        <f>IF('Cadastro de Insumos'!$O$64=FALSE,"",IF('Cadastro de Insumos'!$P$64=FALSE,(('Cadastro de Insumos'!$E$66*M19)/'Cadastro de Insumos'!$L$66)*1000,(('Cadastro de Insumos'!$E$66*M19)*1000)))</f>
        <v/>
      </c>
      <c r="W19" s="56" t="str">
        <f>IF('Cadastro de Insumos'!$O$70=FALSE,"",IF('Cadastro de Insumos'!$P$70=FALSE,(('Cadastro de Insumos'!$E$72*M19)/'Cadastro de Insumos'!$L$72)*1000,(('Cadastro de Insumos'!$E$72*M19)*1000)))</f>
        <v/>
      </c>
      <c r="X19" s="57" t="str">
        <f>IF('Cadastro de Insumos'!$O$74=FALSE,"",IF('Cadastro de Insumos'!$P$74=FALSE,(('Cadastro de Insumos'!$E$76*M19)/'Cadastro de Insumos'!$L$76)*1000,(('Cadastro de Insumos'!$E$76*M19)*1000)))</f>
        <v/>
      </c>
      <c r="Y19" s="57" t="str">
        <f>IF('Cadastro de Insumos'!$O$78=FALSE,"",IF('Cadastro de Insumos'!$P$78=FALSE,(('Cadastro de Insumos'!$E$80*M19)/'Cadastro de Insumos'!$L$80)*1000,(('Cadastro de Insumos'!$E$80*M19)*1000)))</f>
        <v/>
      </c>
      <c r="Z19" s="58" t="str">
        <f>IF('Cadastro de Insumos'!$O$82=FALSE,"",IF('Cadastro de Insumos'!$P$82=FALSE,(('Cadastro de Insumos'!$E$84*M19)/'Cadastro de Insumos'!$L$84)*1000,(('Cadastro de Insumos'!$E$84*M19)*1000)))</f>
        <v/>
      </c>
    </row>
    <row r="20" spans="2:26">
      <c r="B20" s="252">
        <f>B18+0.01</f>
        <v>0.56000000000000005</v>
      </c>
      <c r="C20" s="50"/>
      <c r="D20" s="50"/>
      <c r="E20" s="50"/>
      <c r="F20" s="63"/>
      <c r="G20" s="63"/>
      <c r="H20" s="63"/>
      <c r="I20" s="63"/>
      <c r="J20" s="63"/>
      <c r="K20" s="63"/>
      <c r="L20" s="63"/>
      <c r="M20" s="64" t="str">
        <f>IF(M21="","","+"&amp;ROUND(M21-M19,3))</f>
        <v>+0,062</v>
      </c>
      <c r="N20" s="65" t="str">
        <f>IF(N21="","","+"&amp;ROUND(N21-N19,3))</f>
        <v/>
      </c>
      <c r="O20" s="66" t="str">
        <f>IF(O21="","","+"&amp;ROUND(O21-O19,3))</f>
        <v/>
      </c>
      <c r="P20" s="64" t="str">
        <f t="shared" ref="P20:Z20" si="5">IF(P21="","","+"&amp;ROUND(P21-P19,3))</f>
        <v>+0,371</v>
      </c>
      <c r="Q20" s="65" t="str">
        <f t="shared" si="5"/>
        <v/>
      </c>
      <c r="R20" s="67" t="str">
        <f t="shared" si="5"/>
        <v/>
      </c>
      <c r="S20" s="64" t="str">
        <f t="shared" si="5"/>
        <v/>
      </c>
      <c r="T20" s="65" t="str">
        <f t="shared" si="5"/>
        <v/>
      </c>
      <c r="U20" s="65" t="str">
        <f t="shared" si="5"/>
        <v/>
      </c>
      <c r="V20" s="67" t="str">
        <f t="shared" si="5"/>
        <v/>
      </c>
      <c r="W20" s="64" t="str">
        <f t="shared" si="5"/>
        <v/>
      </c>
      <c r="X20" s="65" t="str">
        <f t="shared" si="5"/>
        <v/>
      </c>
      <c r="Y20" s="65" t="str">
        <f t="shared" si="5"/>
        <v/>
      </c>
      <c r="Z20" s="67" t="str">
        <f t="shared" si="5"/>
        <v/>
      </c>
    </row>
    <row r="21" spans="2:26" ht="16.5" thickBot="1">
      <c r="B21" s="253"/>
      <c r="C21" s="60">
        <f>1*'Cadastro de Insumos'!$P$6</f>
        <v>1</v>
      </c>
      <c r="D21" s="60">
        <f>1*'Cadastro de Insumos'!$P$10</f>
        <v>0</v>
      </c>
      <c r="E21" s="60">
        <f>1*'Cadastro de Insumos'!$P$14</f>
        <v>0</v>
      </c>
      <c r="F21" s="57">
        <f>(B20*(1+$B$6)-1)*'Cadastro de Insumos'!$P$20</f>
        <v>2.044</v>
      </c>
      <c r="G21" s="57">
        <f>(B20*(1+$B$6)-1)*'Cadastro de Insumos'!$P$24</f>
        <v>0</v>
      </c>
      <c r="H21" s="57">
        <f>(B20*(1+$B$6)-1)*'Cadastro de Insumos'!$P$28</f>
        <v>0</v>
      </c>
      <c r="I21" s="57">
        <f>($B$6-(SUM(F21:H21)))*'Cadastro de Insumos'!$P$34</f>
        <v>2.3735999999999997</v>
      </c>
      <c r="J21" s="57">
        <f>($B$6-(SUM(F21:H21)))*'Cadastro de Insumos'!$P$38</f>
        <v>1.5824</v>
      </c>
      <c r="K21" s="57">
        <f>($B$6-(SUM(F21:H21)))*'Cadastro de Insumos'!$P$42</f>
        <v>0</v>
      </c>
      <c r="L21" s="57">
        <f>($B$6-(SUM(F21:H21)))*'Cadastro de Insumos'!$P$46</f>
        <v>0</v>
      </c>
      <c r="M21" s="56">
        <f>IF(C21=0,"",('Escopo de Estudo'!$D$30/SUM('Ficha de Dosagem - D'!I21:L21))*C21)</f>
        <v>5.055611729019212</v>
      </c>
      <c r="N21" s="57" t="str">
        <f>IF(N10="","",('Escopo de Estudo'!$D$30/SUM('Ficha de Dosagem - D'!I21:L21))*D21)</f>
        <v/>
      </c>
      <c r="O21" s="58" t="str">
        <f>IF(O10="","",('Escopo de Estudo'!$D$30/SUM('Ficha de Dosagem - D'!I21:L21))*E21)</f>
        <v/>
      </c>
      <c r="P21" s="56">
        <f t="shared" si="1"/>
        <v>10.33367037411527</v>
      </c>
      <c r="Q21" s="72" t="str">
        <f>IF($Q$10="","",SUM(M21:O21)*G21)</f>
        <v/>
      </c>
      <c r="R21" s="55" t="str">
        <f>IF($R$10="","",SUM(M21:O21)*H21)</f>
        <v/>
      </c>
      <c r="S21" s="56" t="str">
        <f>IF('Cadastro de Insumos'!$O$52=FALSE,"",IF('Cadastro de Insumos'!$P$52=FALSE,(('Cadastro de Insumos'!$E$54*M21)/'Cadastro de Insumos'!$L$54)*1000,(('Cadastro de Insumos'!$E$54*M21)*1000)))</f>
        <v/>
      </c>
      <c r="T21" s="57" t="str">
        <f>IF('Cadastro de Insumos'!$O$56=FALSE,"",IF('Cadastro de Insumos'!$P$56=FALSE,(('Cadastro de Insumos'!$E$58*M21)/'Cadastro de Insumos'!$L$58)*1000,(('Cadastro de Insumos'!$E$58*M21)*1000)))</f>
        <v/>
      </c>
      <c r="U21" s="57" t="str">
        <f>IF('Cadastro de Insumos'!$O$60=FALSE,"",IF('Cadastro de Insumos'!$P$60=FALSE,(('Cadastro de Insumos'!$E$62*M21)/'Cadastro de Insumos'!$L$62)*1000,(('Cadastro de Insumos'!$E$62*M21)*1000)))</f>
        <v/>
      </c>
      <c r="V21" s="58" t="str">
        <f>IF('Cadastro de Insumos'!$O$64=FALSE,"",IF('Cadastro de Insumos'!$P$64=FALSE,(('Cadastro de Insumos'!$E$66*M21)/'Cadastro de Insumos'!$L$66)*1000,(('Cadastro de Insumos'!$E$66*M21)*1000)))</f>
        <v/>
      </c>
      <c r="W21" s="56" t="str">
        <f>IF('Cadastro de Insumos'!$O$70=FALSE,"",IF('Cadastro de Insumos'!$P$70=FALSE,(('Cadastro de Insumos'!$E$72*M21)/'Cadastro de Insumos'!$L$72)*1000,(('Cadastro de Insumos'!$E$72*M21)*1000)))</f>
        <v/>
      </c>
      <c r="X21" s="57" t="str">
        <f>IF('Cadastro de Insumos'!$O$74=FALSE,"",IF('Cadastro de Insumos'!$P$74=FALSE,(('Cadastro de Insumos'!$E$76*M21)/'Cadastro de Insumos'!$L$76)*1000,(('Cadastro de Insumos'!$E$76*M21)*1000)))</f>
        <v/>
      </c>
      <c r="Y21" s="57" t="str">
        <f>IF('Cadastro de Insumos'!$O$78=FALSE,"",IF('Cadastro de Insumos'!$P$78=FALSE,(('Cadastro de Insumos'!$E$80*M21)/'Cadastro de Insumos'!$L$80)*1000,(('Cadastro de Insumos'!$E$80*M21)*1000)))</f>
        <v/>
      </c>
      <c r="Z21" s="58" t="str">
        <f>IF('Cadastro de Insumos'!$O$82=FALSE,"",IF('Cadastro de Insumos'!$P$82=FALSE,(('Cadastro de Insumos'!$E$84*M21)/'Cadastro de Insumos'!$L$84)*1000,(('Cadastro de Insumos'!$E$84*M21)*1000)))</f>
        <v/>
      </c>
    </row>
    <row r="22" spans="2:26">
      <c r="B22" s="252">
        <f>B20+0.01</f>
        <v>0.57000000000000006</v>
      </c>
      <c r="C22" s="50"/>
      <c r="D22" s="50"/>
      <c r="E22" s="50"/>
      <c r="F22" s="63"/>
      <c r="G22" s="63"/>
      <c r="H22" s="63"/>
      <c r="I22" s="63"/>
      <c r="J22" s="63"/>
      <c r="K22" s="63"/>
      <c r="L22" s="63"/>
      <c r="M22" s="64" t="str">
        <f>IF(M23="","","+"&amp;ROUND(M23-M21,3))</f>
        <v>+0,063</v>
      </c>
      <c r="N22" s="65" t="str">
        <f>IF(N23="","","+"&amp;ROUND(N23-N21,3))</f>
        <v/>
      </c>
      <c r="O22" s="66" t="str">
        <f>IF(O23="","","+"&amp;ROUND(O23-O21,3))</f>
        <v/>
      </c>
      <c r="P22" s="64" t="str">
        <f t="shared" ref="P22:Z22" si="6">IF(P23="","","+"&amp;ROUND(P23-P21,3))</f>
        <v>+0,38</v>
      </c>
      <c r="Q22" s="65" t="str">
        <f t="shared" si="6"/>
        <v/>
      </c>
      <c r="R22" s="67" t="str">
        <f t="shared" si="6"/>
        <v/>
      </c>
      <c r="S22" s="64" t="str">
        <f t="shared" si="6"/>
        <v/>
      </c>
      <c r="T22" s="65" t="str">
        <f t="shared" si="6"/>
        <v/>
      </c>
      <c r="U22" s="65" t="str">
        <f t="shared" si="6"/>
        <v/>
      </c>
      <c r="V22" s="67" t="str">
        <f t="shared" si="6"/>
        <v/>
      </c>
      <c r="W22" s="64" t="str">
        <f t="shared" si="6"/>
        <v/>
      </c>
      <c r="X22" s="65" t="str">
        <f t="shared" si="6"/>
        <v/>
      </c>
      <c r="Y22" s="65" t="str">
        <f t="shared" si="6"/>
        <v/>
      </c>
      <c r="Z22" s="67" t="str">
        <f t="shared" si="6"/>
        <v/>
      </c>
    </row>
    <row r="23" spans="2:26" ht="16.5" thickBot="1">
      <c r="B23" s="253"/>
      <c r="C23" s="60">
        <f>1*'Cadastro de Insumos'!$P$6</f>
        <v>1</v>
      </c>
      <c r="D23" s="60">
        <f>1*'Cadastro de Insumos'!$P$10</f>
        <v>0</v>
      </c>
      <c r="E23" s="60">
        <f>1*'Cadastro de Insumos'!$P$14</f>
        <v>0</v>
      </c>
      <c r="F23" s="57">
        <f>(B22*(1+$B$6)-1)*'Cadastro de Insumos'!$P$20</f>
        <v>2.093</v>
      </c>
      <c r="G23" s="57">
        <f>(B22*(1+$B$6)-1)*'Cadastro de Insumos'!$P$24</f>
        <v>0</v>
      </c>
      <c r="H23" s="57">
        <f>(B22*(1+$B$6)-1)*'Cadastro de Insumos'!$P$28</f>
        <v>0</v>
      </c>
      <c r="I23" s="57">
        <f>($B$6-(SUM(F23:H23)))*'Cadastro de Insumos'!$P$34</f>
        <v>2.3441999999999998</v>
      </c>
      <c r="J23" s="57">
        <f>($B$6-(SUM(F23:H23)))*'Cadastro de Insumos'!$P$38</f>
        <v>1.5628000000000002</v>
      </c>
      <c r="K23" s="57">
        <f>($B$6-(SUM(F23:H23)))*'Cadastro de Insumos'!$P$42</f>
        <v>0</v>
      </c>
      <c r="L23" s="57">
        <f>($B$6-(SUM(F23:H23)))*'Cadastro de Insumos'!$P$46</f>
        <v>0</v>
      </c>
      <c r="M23" s="56">
        <f>IF(C23=0,"",('Escopo de Estudo'!$D$30/SUM('Ficha de Dosagem - D'!I23:L23))*C23)</f>
        <v>5.1190171487074485</v>
      </c>
      <c r="N23" s="57" t="str">
        <f>IF(N10="","",('Escopo de Estudo'!$D$30/SUM('Ficha de Dosagem - D'!I23:L23))*D23)</f>
        <v/>
      </c>
      <c r="O23" s="58" t="str">
        <f>IF(O10="","",('Escopo de Estudo'!$D$30/SUM('Ficha de Dosagem - D'!I23:L23))*E23)</f>
        <v/>
      </c>
      <c r="P23" s="56">
        <f t="shared" si="1"/>
        <v>10.714102892244689</v>
      </c>
      <c r="Q23" s="72" t="str">
        <f>IF($Q$10="","",SUM(M23:O23)*G23)</f>
        <v/>
      </c>
      <c r="R23" s="55" t="str">
        <f>IF($R$10="","",SUM(M23:O23)*H23)</f>
        <v/>
      </c>
      <c r="S23" s="56" t="str">
        <f>IF('Cadastro de Insumos'!$O$52=FALSE,"",IF('Cadastro de Insumos'!$P$52=FALSE,(('Cadastro de Insumos'!$E$54*M23)/'Cadastro de Insumos'!$L$54)*1000,(('Cadastro de Insumos'!$E$54*M23)*1000)))</f>
        <v/>
      </c>
      <c r="T23" s="57" t="str">
        <f>IF('Cadastro de Insumos'!$O$56=FALSE,"",IF('Cadastro de Insumos'!$P$56=FALSE,(('Cadastro de Insumos'!$E$58*M23)/'Cadastro de Insumos'!$L$58)*1000,(('Cadastro de Insumos'!$E$58*M23)*1000)))</f>
        <v/>
      </c>
      <c r="U23" s="57" t="str">
        <f>IF('Cadastro de Insumos'!$O$60=FALSE,"",IF('Cadastro de Insumos'!$P$60=FALSE,(('Cadastro de Insumos'!$E$62*M23)/'Cadastro de Insumos'!$L$62)*1000,(('Cadastro de Insumos'!$E$62*M23)*1000)))</f>
        <v/>
      </c>
      <c r="V23" s="58" t="str">
        <f>IF('Cadastro de Insumos'!$O$64=FALSE,"",IF('Cadastro de Insumos'!$P$64=FALSE,(('Cadastro de Insumos'!$E$66*M23)/'Cadastro de Insumos'!$L$66)*1000,(('Cadastro de Insumos'!$E$66*M23)*1000)))</f>
        <v/>
      </c>
      <c r="W23" s="56" t="str">
        <f>IF('Cadastro de Insumos'!$O$70=FALSE,"",IF('Cadastro de Insumos'!$P$70=FALSE,(('Cadastro de Insumos'!$E$72*M23)/'Cadastro de Insumos'!$L$72)*1000,(('Cadastro de Insumos'!$E$72*M23)*1000)))</f>
        <v/>
      </c>
      <c r="X23" s="57" t="str">
        <f>IF('Cadastro de Insumos'!$O$74=FALSE,"",IF('Cadastro de Insumos'!$P$74=FALSE,(('Cadastro de Insumos'!$E$76*M23)/'Cadastro de Insumos'!$L$76)*1000,(('Cadastro de Insumos'!$E$76*M23)*1000)))</f>
        <v/>
      </c>
      <c r="Y23" s="57" t="str">
        <f>IF('Cadastro de Insumos'!$O$78=FALSE,"",IF('Cadastro de Insumos'!$P$78=FALSE,(('Cadastro de Insumos'!$E$80*M23)/'Cadastro de Insumos'!$L$80)*1000,(('Cadastro de Insumos'!$E$80*M23)*1000)))</f>
        <v/>
      </c>
      <c r="Z23" s="58" t="str">
        <f>IF('Cadastro de Insumos'!$O$82=FALSE,"",IF('Cadastro de Insumos'!$P$82=FALSE,(('Cadastro de Insumos'!$E$84*M23)/'Cadastro de Insumos'!$L$84)*1000,(('Cadastro de Insumos'!$E$84*M23)*1000)))</f>
        <v/>
      </c>
    </row>
    <row r="24" spans="2:26">
      <c r="B24" s="252">
        <f>B22+0.01</f>
        <v>0.58000000000000007</v>
      </c>
      <c r="C24" s="50"/>
      <c r="D24" s="50"/>
      <c r="E24" s="50"/>
      <c r="F24" s="63"/>
      <c r="G24" s="63"/>
      <c r="H24" s="63"/>
      <c r="I24" s="63"/>
      <c r="J24" s="63"/>
      <c r="K24" s="63"/>
      <c r="L24" s="63"/>
      <c r="M24" s="64" t="str">
        <f>IF(M25="","","+"&amp;ROUND(M25-M23,3))</f>
        <v>+0,065</v>
      </c>
      <c r="N24" s="65" t="str">
        <f>IF(N25="","","+"&amp;ROUND(N25-N23,3))</f>
        <v/>
      </c>
      <c r="O24" s="66" t="str">
        <f>IF(O25="","","+"&amp;ROUND(O25-O23,3))</f>
        <v/>
      </c>
      <c r="P24" s="64" t="str">
        <f t="shared" ref="P24:Z24" si="7">IF(P25="","","+"&amp;ROUND(P25-P23,3))</f>
        <v>+0,39</v>
      </c>
      <c r="Q24" s="65" t="str">
        <f t="shared" si="7"/>
        <v/>
      </c>
      <c r="R24" s="67" t="str">
        <f t="shared" si="7"/>
        <v/>
      </c>
      <c r="S24" s="64" t="str">
        <f t="shared" si="7"/>
        <v/>
      </c>
      <c r="T24" s="65" t="str">
        <f t="shared" si="7"/>
        <v/>
      </c>
      <c r="U24" s="65" t="str">
        <f t="shared" si="7"/>
        <v/>
      </c>
      <c r="V24" s="67" t="str">
        <f t="shared" si="7"/>
        <v/>
      </c>
      <c r="W24" s="64" t="str">
        <f t="shared" si="7"/>
        <v/>
      </c>
      <c r="X24" s="65" t="str">
        <f t="shared" si="7"/>
        <v/>
      </c>
      <c r="Y24" s="65" t="str">
        <f t="shared" si="7"/>
        <v/>
      </c>
      <c r="Z24" s="67" t="str">
        <f t="shared" si="7"/>
        <v/>
      </c>
    </row>
    <row r="25" spans="2:26" ht="16.5" thickBot="1">
      <c r="B25" s="253"/>
      <c r="C25" s="60">
        <f>1*'Cadastro de Insumos'!$P$6</f>
        <v>1</v>
      </c>
      <c r="D25" s="60">
        <f>1*'Cadastro de Insumos'!$P$10</f>
        <v>0</v>
      </c>
      <c r="E25" s="60">
        <f>1*'Cadastro de Insumos'!$P$14</f>
        <v>0</v>
      </c>
      <c r="F25" s="57">
        <f>(B24*(1+$B$6)-1)*'Cadastro de Insumos'!$P$20</f>
        <v>2.1420000000000003</v>
      </c>
      <c r="G25" s="57">
        <f>(B24*(1+$B$6)-1)*'Cadastro de Insumos'!$P$24</f>
        <v>0</v>
      </c>
      <c r="H25" s="57">
        <f>(B24*(1+$B$6)-1)*'Cadastro de Insumos'!$P$28</f>
        <v>0</v>
      </c>
      <c r="I25" s="57">
        <f>($B$6-(SUM(F25:H25)))*'Cadastro de Insumos'!$P$34</f>
        <v>2.3147999999999995</v>
      </c>
      <c r="J25" s="57">
        <f>($B$6-(SUM(F25:H25)))*'Cadastro de Insumos'!$P$38</f>
        <v>1.5431999999999999</v>
      </c>
      <c r="K25" s="57">
        <f>($B$6-(SUM(F25:H25)))*'Cadastro de Insumos'!$P$42</f>
        <v>0</v>
      </c>
      <c r="L25" s="57">
        <f>($B$6-(SUM(F25:H25)))*'Cadastro de Insumos'!$P$46</f>
        <v>0</v>
      </c>
      <c r="M25" s="56">
        <f>IF(C25=0,"",('Escopo de Estudo'!$D$30/SUM('Ficha de Dosagem - D'!I25:L25))*C25)</f>
        <v>5.1840331778123385</v>
      </c>
      <c r="N25" s="57" t="str">
        <f>IF(N10="","",('Escopo de Estudo'!$D$30/SUM('Ficha de Dosagem - D'!I25:L25))*D25)</f>
        <v/>
      </c>
      <c r="O25" s="58" t="str">
        <f>IF(O10="","",('Escopo de Estudo'!$D$30/SUM('Ficha de Dosagem - D'!I25:L25))*E25)</f>
        <v/>
      </c>
      <c r="P25" s="56">
        <f t="shared" si="1"/>
        <v>11.104199066874031</v>
      </c>
      <c r="Q25" s="72" t="str">
        <f>IF($Q$10="","",SUM(M25:O25)*G25)</f>
        <v/>
      </c>
      <c r="R25" s="55" t="str">
        <f>IF($R$10="","",SUM(M25:O25)*H25)</f>
        <v/>
      </c>
      <c r="S25" s="56" t="str">
        <f>IF('Cadastro de Insumos'!$O$52=FALSE,"",IF('Cadastro de Insumos'!$P$52=FALSE,(('Cadastro de Insumos'!$E$54*M25)/'Cadastro de Insumos'!$L$54)*1000,(('Cadastro de Insumos'!$E$54*M25)*1000)))</f>
        <v/>
      </c>
      <c r="T25" s="57" t="str">
        <f>IF('Cadastro de Insumos'!$O$56=FALSE,"",IF('Cadastro de Insumos'!$P$56=FALSE,(('Cadastro de Insumos'!$E$58*M25)/'Cadastro de Insumos'!$L$58)*1000,(('Cadastro de Insumos'!$E$58*M25)*1000)))</f>
        <v/>
      </c>
      <c r="U25" s="57" t="str">
        <f>IF('Cadastro de Insumos'!$O$60=FALSE,"",IF('Cadastro de Insumos'!$P$60=FALSE,(('Cadastro de Insumos'!$E$62*M25)/'Cadastro de Insumos'!$L$62)*1000,(('Cadastro de Insumos'!$E$62*M25)*1000)))</f>
        <v/>
      </c>
      <c r="V25" s="58" t="str">
        <f>IF('Cadastro de Insumos'!$O$64=FALSE,"",IF('Cadastro de Insumos'!$P$64=FALSE,(('Cadastro de Insumos'!$E$66*M25)/'Cadastro de Insumos'!$L$66)*1000,(('Cadastro de Insumos'!$E$66*M25)*1000)))</f>
        <v/>
      </c>
      <c r="W25" s="56" t="str">
        <f>IF('Cadastro de Insumos'!$O$70=FALSE,"",IF('Cadastro de Insumos'!$P$70=FALSE,(('Cadastro de Insumos'!$E$72*M25)/'Cadastro de Insumos'!$L$72)*1000,(('Cadastro de Insumos'!$E$72*M25)*1000)))</f>
        <v/>
      </c>
      <c r="X25" s="57" t="str">
        <f>IF('Cadastro de Insumos'!$O$74=FALSE,"",IF('Cadastro de Insumos'!$P$74=FALSE,(('Cadastro de Insumos'!$E$76*M25)/'Cadastro de Insumos'!$L$76)*1000,(('Cadastro de Insumos'!$E$76*M25)*1000)))</f>
        <v/>
      </c>
      <c r="Y25" s="57" t="str">
        <f>IF('Cadastro de Insumos'!$O$78=FALSE,"",IF('Cadastro de Insumos'!$P$78=FALSE,(('Cadastro de Insumos'!$E$80*M25)/'Cadastro de Insumos'!$L$80)*1000,(('Cadastro de Insumos'!$E$80*M25)*1000)))</f>
        <v/>
      </c>
      <c r="Z25" s="58" t="str">
        <f>IF('Cadastro de Insumos'!$O$82=FALSE,"",IF('Cadastro de Insumos'!$P$82=FALSE,(('Cadastro de Insumos'!$E$84*M25)/'Cadastro de Insumos'!$L$84)*1000,(('Cadastro de Insumos'!$E$84*M25)*1000)))</f>
        <v/>
      </c>
    </row>
    <row r="26" spans="2:26">
      <c r="B26" s="252">
        <f>B24+0.01</f>
        <v>0.59000000000000008</v>
      </c>
      <c r="C26" s="50"/>
      <c r="D26" s="50"/>
      <c r="E26" s="50"/>
      <c r="F26" s="63"/>
      <c r="G26" s="63"/>
      <c r="H26" s="63"/>
      <c r="I26" s="63"/>
      <c r="J26" s="63"/>
      <c r="K26" s="63"/>
      <c r="L26" s="63"/>
      <c r="M26" s="64" t="str">
        <f>IF(M27="","","+"&amp;ROUND(M27-M25,3))</f>
        <v>+0,067</v>
      </c>
      <c r="N26" s="65" t="str">
        <f>IF(N27="","","+"&amp;ROUND(N27-N25,3))</f>
        <v/>
      </c>
      <c r="O26" s="66" t="str">
        <f>IF(O27="","","+"&amp;ROUND(O27-O25,3))</f>
        <v/>
      </c>
      <c r="P26" s="64" t="str">
        <f t="shared" ref="P26:Z26" si="8">IF(P27="","","+"&amp;ROUND(P27-P25,3))</f>
        <v>+0,4</v>
      </c>
      <c r="Q26" s="65" t="str">
        <f t="shared" si="8"/>
        <v/>
      </c>
      <c r="R26" s="67" t="str">
        <f t="shared" si="8"/>
        <v/>
      </c>
      <c r="S26" s="64" t="str">
        <f t="shared" si="8"/>
        <v/>
      </c>
      <c r="T26" s="65" t="str">
        <f t="shared" si="8"/>
        <v/>
      </c>
      <c r="U26" s="65" t="str">
        <f t="shared" si="8"/>
        <v/>
      </c>
      <c r="V26" s="67" t="str">
        <f t="shared" si="8"/>
        <v/>
      </c>
      <c r="W26" s="64" t="str">
        <f t="shared" si="8"/>
        <v/>
      </c>
      <c r="X26" s="65" t="str">
        <f t="shared" si="8"/>
        <v/>
      </c>
      <c r="Y26" s="65" t="str">
        <f t="shared" si="8"/>
        <v/>
      </c>
      <c r="Z26" s="67" t="str">
        <f t="shared" si="8"/>
        <v/>
      </c>
    </row>
    <row r="27" spans="2:26" ht="16.5" thickBot="1">
      <c r="B27" s="253"/>
      <c r="C27" s="60">
        <f>1*'Cadastro de Insumos'!$P$6</f>
        <v>1</v>
      </c>
      <c r="D27" s="60">
        <f>1*'Cadastro de Insumos'!$P$10</f>
        <v>0</v>
      </c>
      <c r="E27" s="60">
        <f>1*'Cadastro de Insumos'!$P$14</f>
        <v>0</v>
      </c>
      <c r="F27" s="57">
        <f>(B26*(1+$B$6)-1)*'Cadastro de Insumos'!$P$20</f>
        <v>2.1910000000000003</v>
      </c>
      <c r="G27" s="57">
        <f>(B26*(1+$B$6)-1)*'Cadastro de Insumos'!$P$24</f>
        <v>0</v>
      </c>
      <c r="H27" s="57">
        <f>(B26*(1+$B$6)-1)*'Cadastro de Insumos'!$P$28</f>
        <v>0</v>
      </c>
      <c r="I27" s="57">
        <f>($B$6-(SUM(F27:H27)))*'Cadastro de Insumos'!$P$34</f>
        <v>2.2853999999999997</v>
      </c>
      <c r="J27" s="57">
        <f>($B$6-(SUM(F27:H27)))*'Cadastro de Insumos'!$P$38</f>
        <v>1.5236000000000001</v>
      </c>
      <c r="K27" s="57">
        <f>($B$6-(SUM(F27:H27)))*'Cadastro de Insumos'!$P$42</f>
        <v>0</v>
      </c>
      <c r="L27" s="57">
        <f>($B$6-(SUM(F27:H27)))*'Cadastro de Insumos'!$P$46</f>
        <v>0</v>
      </c>
      <c r="M27" s="56">
        <f>IF(C27=0,"",('Escopo de Estudo'!$D$30/SUM('Ficha de Dosagem - D'!I27:L27))*C27)</f>
        <v>5.250721974271463</v>
      </c>
      <c r="N27" s="57" t="str">
        <f>IF(N10="","",('Escopo de Estudo'!$D$30/SUM('Ficha de Dosagem - D'!I27:L27))*D27)</f>
        <v/>
      </c>
      <c r="O27" s="58" t="str">
        <f>IF(O10="","",('Escopo de Estudo'!$D$30/SUM('Ficha de Dosagem - D'!I27:L27))*E27)</f>
        <v/>
      </c>
      <c r="P27" s="56">
        <f t="shared" si="1"/>
        <v>11.504331845628776</v>
      </c>
      <c r="Q27" s="72" t="str">
        <f>IF($Q$10="","",SUM(M27:O27)*G27)</f>
        <v/>
      </c>
      <c r="R27" s="55" t="str">
        <f>IF($R$10="","",SUM(M27:O27)*H27)</f>
        <v/>
      </c>
      <c r="S27" s="56" t="str">
        <f>IF('Cadastro de Insumos'!$O$52=FALSE,"",IF('Cadastro de Insumos'!$P$52=FALSE,(('Cadastro de Insumos'!$E$54*M27)/'Cadastro de Insumos'!$L$54)*1000,(('Cadastro de Insumos'!$E$54*M27)*1000)))</f>
        <v/>
      </c>
      <c r="T27" s="57" t="str">
        <f>IF('Cadastro de Insumos'!$O$56=FALSE,"",IF('Cadastro de Insumos'!$P$56=FALSE,(('Cadastro de Insumos'!$E$58*M27)/'Cadastro de Insumos'!$L$58)*1000,(('Cadastro de Insumos'!$E$58*M27)*1000)))</f>
        <v/>
      </c>
      <c r="U27" s="57" t="str">
        <f>IF('Cadastro de Insumos'!$O$60=FALSE,"",IF('Cadastro de Insumos'!$P$60=FALSE,(('Cadastro de Insumos'!$E$62*M27)/'Cadastro de Insumos'!$L$62)*1000,(('Cadastro de Insumos'!$E$62*M27)*1000)))</f>
        <v/>
      </c>
      <c r="V27" s="58" t="str">
        <f>IF('Cadastro de Insumos'!$O$64=FALSE,"",IF('Cadastro de Insumos'!$P$64=FALSE,(('Cadastro de Insumos'!$E$66*M27)/'Cadastro de Insumos'!$L$66)*1000,(('Cadastro de Insumos'!$E$66*M27)*1000)))</f>
        <v/>
      </c>
      <c r="W27" s="56" t="str">
        <f>IF('Cadastro de Insumos'!$O$70=FALSE,"",IF('Cadastro de Insumos'!$P$70=FALSE,(('Cadastro de Insumos'!$E$72*M27)/'Cadastro de Insumos'!$L$72)*1000,(('Cadastro de Insumos'!$E$72*M27)*1000)))</f>
        <v/>
      </c>
      <c r="X27" s="57" t="str">
        <f>IF('Cadastro de Insumos'!$O$74=FALSE,"",IF('Cadastro de Insumos'!$P$74=FALSE,(('Cadastro de Insumos'!$E$76*M27)/'Cadastro de Insumos'!$L$76)*1000,(('Cadastro de Insumos'!$E$76*M27)*1000)))</f>
        <v/>
      </c>
      <c r="Y27" s="57" t="str">
        <f>IF('Cadastro de Insumos'!$O$78=FALSE,"",IF('Cadastro de Insumos'!$P$78=FALSE,(('Cadastro de Insumos'!$E$80*M27)/'Cadastro de Insumos'!$L$80)*1000,(('Cadastro de Insumos'!$E$80*M27)*1000)))</f>
        <v/>
      </c>
      <c r="Z27" s="58" t="str">
        <f>IF('Cadastro de Insumos'!$O$82=FALSE,"",IF('Cadastro de Insumos'!$P$82=FALSE,(('Cadastro de Insumos'!$E$84*M27)/'Cadastro de Insumos'!$L$84)*1000,(('Cadastro de Insumos'!$E$84*M27)*1000)))</f>
        <v/>
      </c>
    </row>
    <row r="28" spans="2:26">
      <c r="B28" s="252">
        <f>B26+0.01</f>
        <v>0.60000000000000009</v>
      </c>
      <c r="C28" s="50"/>
      <c r="D28" s="50"/>
      <c r="E28" s="50"/>
      <c r="F28" s="63"/>
      <c r="G28" s="63"/>
      <c r="H28" s="63"/>
      <c r="I28" s="63"/>
      <c r="J28" s="63"/>
      <c r="K28" s="63"/>
      <c r="L28" s="63"/>
      <c r="M28" s="64" t="str">
        <f>IF(M29="","","+"&amp;ROUND(M29-M27,3))</f>
        <v>+0,068</v>
      </c>
      <c r="N28" s="65" t="str">
        <f>IF(N29="","","+"&amp;ROUND(N29-N27,3))</f>
        <v/>
      </c>
      <c r="O28" s="66" t="str">
        <f>IF(O29="","","+"&amp;ROUND(O29-O27,3))</f>
        <v/>
      </c>
      <c r="P28" s="64" t="str">
        <f t="shared" ref="P28:Z28" si="9">IF(P29="","","+"&amp;ROUND(P29-P27,3))</f>
        <v>+0,411</v>
      </c>
      <c r="Q28" s="65" t="str">
        <f t="shared" si="9"/>
        <v/>
      </c>
      <c r="R28" s="67" t="str">
        <f t="shared" si="9"/>
        <v/>
      </c>
      <c r="S28" s="64" t="str">
        <f t="shared" si="9"/>
        <v/>
      </c>
      <c r="T28" s="65" t="str">
        <f t="shared" si="9"/>
        <v/>
      </c>
      <c r="U28" s="65" t="str">
        <f t="shared" si="9"/>
        <v/>
      </c>
      <c r="V28" s="67" t="str">
        <f t="shared" si="9"/>
        <v/>
      </c>
      <c r="W28" s="64" t="str">
        <f t="shared" si="9"/>
        <v/>
      </c>
      <c r="X28" s="65" t="str">
        <f t="shared" si="9"/>
        <v/>
      </c>
      <c r="Y28" s="65" t="str">
        <f t="shared" si="9"/>
        <v/>
      </c>
      <c r="Z28" s="67" t="str">
        <f t="shared" si="9"/>
        <v/>
      </c>
    </row>
    <row r="29" spans="2:26" ht="16.5" thickBot="1">
      <c r="B29" s="253"/>
      <c r="C29" s="60">
        <f>1*'Cadastro de Insumos'!$P$6</f>
        <v>1</v>
      </c>
      <c r="D29" s="60">
        <f>1*'Cadastro de Insumos'!$P$10</f>
        <v>0</v>
      </c>
      <c r="E29" s="60">
        <f>1*'Cadastro de Insumos'!$P$14</f>
        <v>0</v>
      </c>
      <c r="F29" s="57">
        <f>(B28*(1+$B$6)-1)*'Cadastro de Insumos'!$P$20</f>
        <v>2.2400000000000007</v>
      </c>
      <c r="G29" s="57">
        <f>(B28*(1+$B$6)-1)*'Cadastro de Insumos'!$P$24</f>
        <v>0</v>
      </c>
      <c r="H29" s="57">
        <f>(B28*(1+$B$6)-1)*'Cadastro de Insumos'!$P$28</f>
        <v>0</v>
      </c>
      <c r="I29" s="57">
        <f>($B$6-(SUM(F29:H29)))*'Cadastro de Insumos'!$P$34</f>
        <v>2.2559999999999993</v>
      </c>
      <c r="J29" s="57">
        <f>($B$6-(SUM(F29:H29)))*'Cadastro de Insumos'!$P$38</f>
        <v>1.5039999999999998</v>
      </c>
      <c r="K29" s="57">
        <f>($B$6-(SUM(F29:H29)))*'Cadastro de Insumos'!$P$42</f>
        <v>0</v>
      </c>
      <c r="L29" s="57">
        <f>($B$6-(SUM(F29:H29)))*'Cadastro de Insumos'!$P$46</f>
        <v>0</v>
      </c>
      <c r="M29" s="56">
        <f>IF(C29=0,"",('Escopo de Estudo'!$D$30/SUM('Ficha de Dosagem - D'!I29:L29))*C29)</f>
        <v>5.3191489361702144</v>
      </c>
      <c r="N29" s="57" t="str">
        <f>IF(N10="","",('Escopo de Estudo'!$D$30/SUM('Ficha de Dosagem - D'!I29:L29))*D29)</f>
        <v/>
      </c>
      <c r="O29" s="58" t="str">
        <f>IF(O10="","",('Escopo de Estudo'!$D$30/SUM('Ficha de Dosagem - D'!I29:L29))*E29)</f>
        <v/>
      </c>
      <c r="P29" s="56">
        <f t="shared" si="1"/>
        <v>11.914893617021283</v>
      </c>
      <c r="Q29" s="72" t="str">
        <f>IF($Q$10="","",SUM(M29:O29)*G29)</f>
        <v/>
      </c>
      <c r="R29" s="55" t="str">
        <f>IF($R$10="","",SUM(M29:O29)*H29)</f>
        <v/>
      </c>
      <c r="S29" s="56" t="str">
        <f>IF('Cadastro de Insumos'!$O$52=FALSE,"",IF('Cadastro de Insumos'!$P$52=FALSE,(('Cadastro de Insumos'!$E$54*M29)/'Cadastro de Insumos'!$L$54)*1000,(('Cadastro de Insumos'!$E$54*M29)*1000)))</f>
        <v/>
      </c>
      <c r="T29" s="57" t="str">
        <f>IF('Cadastro de Insumos'!$O$56=FALSE,"",IF('Cadastro de Insumos'!$P$56=FALSE,(('Cadastro de Insumos'!$E$58*M29)/'Cadastro de Insumos'!$L$58)*1000,(('Cadastro de Insumos'!$E$58*M29)*1000)))</f>
        <v/>
      </c>
      <c r="U29" s="57" t="str">
        <f>IF('Cadastro de Insumos'!$O$60=FALSE,"",IF('Cadastro de Insumos'!$P$60=FALSE,(('Cadastro de Insumos'!$E$62*M29)/'Cadastro de Insumos'!$L$62)*1000,(('Cadastro de Insumos'!$E$62*M29)*1000)))</f>
        <v/>
      </c>
      <c r="V29" s="58" t="str">
        <f>IF('Cadastro de Insumos'!$O$64=FALSE,"",IF('Cadastro de Insumos'!$P$64=FALSE,(('Cadastro de Insumos'!$E$66*M29)/'Cadastro de Insumos'!$L$66)*1000,(('Cadastro de Insumos'!$E$66*M29)*1000)))</f>
        <v/>
      </c>
      <c r="W29" s="56" t="str">
        <f>IF('Cadastro de Insumos'!$O$70=FALSE,"",IF('Cadastro de Insumos'!$P$70=FALSE,(('Cadastro de Insumos'!$E$72*M29)/'Cadastro de Insumos'!$L$72)*1000,(('Cadastro de Insumos'!$E$72*M29)*1000)))</f>
        <v/>
      </c>
      <c r="X29" s="57" t="str">
        <f>IF('Cadastro de Insumos'!$O$74=FALSE,"",IF('Cadastro de Insumos'!$P$74=FALSE,(('Cadastro de Insumos'!$E$76*M29)/'Cadastro de Insumos'!$L$76)*1000,(('Cadastro de Insumos'!$E$76*M29)*1000)))</f>
        <v/>
      </c>
      <c r="Y29" s="57" t="str">
        <f>IF('Cadastro de Insumos'!$O$78=FALSE,"",IF('Cadastro de Insumos'!$P$78=FALSE,(('Cadastro de Insumos'!$E$80*M29)/'Cadastro de Insumos'!$L$80)*1000,(('Cadastro de Insumos'!$E$80*M29)*1000)))</f>
        <v/>
      </c>
      <c r="Z29" s="58" t="str">
        <f>IF('Cadastro de Insumos'!$O$82=FALSE,"",IF('Cadastro de Insumos'!$P$82=FALSE,(('Cadastro de Insumos'!$E$84*M29)/'Cadastro de Insumos'!$L$84)*1000,(('Cadastro de Insumos'!$E$84*M29)*1000)))</f>
        <v/>
      </c>
    </row>
    <row r="30" spans="2:26">
      <c r="B30" s="252">
        <f>B28+0.01</f>
        <v>0.6100000000000001</v>
      </c>
      <c r="C30" s="50"/>
      <c r="D30" s="50"/>
      <c r="E30" s="50"/>
      <c r="F30" s="63"/>
      <c r="G30" s="63"/>
      <c r="H30" s="63"/>
      <c r="I30" s="63"/>
      <c r="J30" s="63"/>
      <c r="K30" s="63"/>
      <c r="L30" s="63"/>
      <c r="M30" s="64" t="str">
        <f>IF(M31="","","+"&amp;ROUND(M31-M29,3))</f>
        <v>+0,07</v>
      </c>
      <c r="N30" s="65" t="str">
        <f>IF(N31="","","+"&amp;ROUND(N31-N29,3))</f>
        <v/>
      </c>
      <c r="O30" s="66" t="str">
        <f>IF(O31="","","+"&amp;ROUND(O31-O29,3))</f>
        <v/>
      </c>
      <c r="P30" s="64" t="str">
        <f t="shared" ref="P30:Z30" si="10">IF(P31="","","+"&amp;ROUND(P31-P29,3))</f>
        <v>+0,421</v>
      </c>
      <c r="Q30" s="65" t="str">
        <f t="shared" si="10"/>
        <v/>
      </c>
      <c r="R30" s="67" t="str">
        <f t="shared" si="10"/>
        <v/>
      </c>
      <c r="S30" s="64" t="str">
        <f t="shared" si="10"/>
        <v/>
      </c>
      <c r="T30" s="65" t="str">
        <f t="shared" si="10"/>
        <v/>
      </c>
      <c r="U30" s="65" t="str">
        <f t="shared" si="10"/>
        <v/>
      </c>
      <c r="V30" s="67" t="str">
        <f t="shared" si="10"/>
        <v/>
      </c>
      <c r="W30" s="64" t="str">
        <f t="shared" si="10"/>
        <v/>
      </c>
      <c r="X30" s="65" t="str">
        <f t="shared" si="10"/>
        <v/>
      </c>
      <c r="Y30" s="65" t="str">
        <f t="shared" si="10"/>
        <v/>
      </c>
      <c r="Z30" s="67" t="str">
        <f t="shared" si="10"/>
        <v/>
      </c>
    </row>
    <row r="31" spans="2:26" ht="16.5" thickBot="1">
      <c r="B31" s="253"/>
      <c r="C31" s="60">
        <f>1*'Cadastro de Insumos'!$P$6</f>
        <v>1</v>
      </c>
      <c r="D31" s="60">
        <f>1*'Cadastro de Insumos'!$P$10</f>
        <v>0</v>
      </c>
      <c r="E31" s="60">
        <f>1*'Cadastro de Insumos'!$P$14</f>
        <v>0</v>
      </c>
      <c r="F31" s="57">
        <f>(B30*(1+$B$6)-1)*'Cadastro de Insumos'!$P$20</f>
        <v>2.2890000000000001</v>
      </c>
      <c r="G31" s="57">
        <f>(B30*(1+$B$6)-1)*'Cadastro de Insumos'!$P$24</f>
        <v>0</v>
      </c>
      <c r="H31" s="57">
        <f>(B30*(1+$B$6)-1)*'Cadastro de Insumos'!$P$28</f>
        <v>0</v>
      </c>
      <c r="I31" s="57">
        <f>($B$6-(SUM(F31:H31)))*'Cadastro de Insumos'!$P$34</f>
        <v>2.2265999999999999</v>
      </c>
      <c r="J31" s="57">
        <f>($B$6-(SUM(F31:H31)))*'Cadastro de Insumos'!$P$38</f>
        <v>1.4843999999999999</v>
      </c>
      <c r="K31" s="57">
        <f>($B$6-(SUM(F31:H31)))*'Cadastro de Insumos'!$P$42</f>
        <v>0</v>
      </c>
      <c r="L31" s="57">
        <f>($B$6-(SUM(F31:H31)))*'Cadastro de Insumos'!$P$46</f>
        <v>0</v>
      </c>
      <c r="M31" s="56">
        <f>IF(C31=0,"",('Escopo de Estudo'!$D$30/SUM('Ficha de Dosagem - D'!I31:L31))*C31)</f>
        <v>5.3893829156561575</v>
      </c>
      <c r="N31" s="57" t="str">
        <f>IF(N10="","",('Escopo de Estudo'!$D$30/SUM('Ficha de Dosagem - D'!I31:L31))*D31)</f>
        <v/>
      </c>
      <c r="O31" s="58" t="str">
        <f>IF(O10="","",('Escopo de Estudo'!$D$30/SUM('Ficha de Dosagem - D'!I31:L31))*E31)</f>
        <v/>
      </c>
      <c r="P31" s="56">
        <f t="shared" si="1"/>
        <v>12.336297493936945</v>
      </c>
      <c r="Q31" s="57" t="str">
        <f>IF($Q$10="","",SUM(M31:O31)*G31)</f>
        <v/>
      </c>
      <c r="R31" s="58" t="str">
        <f>IF($R$10="","",SUM(M31:O31)*H31)</f>
        <v/>
      </c>
      <c r="S31" s="56" t="str">
        <f>IF('Cadastro de Insumos'!$O$52=FALSE,"",IF('Cadastro de Insumos'!$P$52=FALSE,(('Cadastro de Insumos'!$E$54*M31)/'Cadastro de Insumos'!$L$54)*1000,(('Cadastro de Insumos'!$E$54*M31)*1000)))</f>
        <v/>
      </c>
      <c r="T31" s="57" t="str">
        <f>IF('Cadastro de Insumos'!$O$56=FALSE,"",IF('Cadastro de Insumos'!$P$56=FALSE,(('Cadastro de Insumos'!$E$58*M31)/'Cadastro de Insumos'!$L$58)*1000,(('Cadastro de Insumos'!$E$58*M31)*1000)))</f>
        <v/>
      </c>
      <c r="U31" s="57" t="str">
        <f>IF('Cadastro de Insumos'!$O$60=FALSE,"",IF('Cadastro de Insumos'!$P$60=FALSE,(('Cadastro de Insumos'!$E$62*M31)/'Cadastro de Insumos'!$L$62)*1000,(('Cadastro de Insumos'!$E$62*M31)*1000)))</f>
        <v/>
      </c>
      <c r="V31" s="58" t="str">
        <f>IF('Cadastro de Insumos'!$O$64=FALSE,"",IF('Cadastro de Insumos'!$P$64=FALSE,(('Cadastro de Insumos'!$E$66*M31)/'Cadastro de Insumos'!$L$66)*1000,(('Cadastro de Insumos'!$E$66*M31)*1000)))</f>
        <v/>
      </c>
      <c r="W31" s="56" t="str">
        <f>IF('Cadastro de Insumos'!$O$70=FALSE,"",IF('Cadastro de Insumos'!$P$70=FALSE,(('Cadastro de Insumos'!$E$72*M31)/'Cadastro de Insumos'!$L$72)*1000,(('Cadastro de Insumos'!$E$72*M31)*1000)))</f>
        <v/>
      </c>
      <c r="X31" s="57" t="str">
        <f>IF('Cadastro de Insumos'!$O$74=FALSE,"",IF('Cadastro de Insumos'!$P$74=FALSE,(('Cadastro de Insumos'!$E$76*M31)/'Cadastro de Insumos'!$L$76)*1000,(('Cadastro de Insumos'!$E$76*M31)*1000)))</f>
        <v/>
      </c>
      <c r="Y31" s="57" t="str">
        <f>IF('Cadastro de Insumos'!$O$78=FALSE,"",IF('Cadastro de Insumos'!$P$78=FALSE,(('Cadastro de Insumos'!$E$80*M31)/'Cadastro de Insumos'!$L$80)*1000,(('Cadastro de Insumos'!$E$80*M31)*1000)))</f>
        <v/>
      </c>
      <c r="Z31" s="58" t="str">
        <f>IF('Cadastro de Insumos'!$O$82=FALSE,"",IF('Cadastro de Insumos'!$P$82=FALSE,(('Cadastro de Insumos'!$E$84*M31)/'Cadastro de Insumos'!$L$84)*1000,(('Cadastro de Insumos'!$E$84*M31)*1000)))</f>
        <v/>
      </c>
    </row>
  </sheetData>
  <mergeCells count="34">
    <mergeCell ref="N7:O7"/>
    <mergeCell ref="Q7:R7"/>
    <mergeCell ref="T7:V7"/>
    <mergeCell ref="X7:Z7"/>
    <mergeCell ref="N2:O2"/>
    <mergeCell ref="U2:W2"/>
    <mergeCell ref="N3:O3"/>
    <mergeCell ref="U3:W3"/>
    <mergeCell ref="N5:O5"/>
    <mergeCell ref="Q5:R5"/>
    <mergeCell ref="T5:V5"/>
    <mergeCell ref="X5:Z5"/>
    <mergeCell ref="N6:O6"/>
    <mergeCell ref="Q6:R6"/>
    <mergeCell ref="T6:V6"/>
    <mergeCell ref="X6:Z6"/>
    <mergeCell ref="T8:V8"/>
    <mergeCell ref="X8:Z8"/>
    <mergeCell ref="B9:B10"/>
    <mergeCell ref="C9:K9"/>
    <mergeCell ref="M9:O9"/>
    <mergeCell ref="P9:R9"/>
    <mergeCell ref="S9:V9"/>
    <mergeCell ref="W9:Z9"/>
    <mergeCell ref="B24:B25"/>
    <mergeCell ref="B26:B27"/>
    <mergeCell ref="B28:B29"/>
    <mergeCell ref="B30:B31"/>
    <mergeCell ref="B12:B13"/>
    <mergeCell ref="B14:B15"/>
    <mergeCell ref="B16:B17"/>
    <mergeCell ref="B18:B19"/>
    <mergeCell ref="B20:B21"/>
    <mergeCell ref="B22:B23"/>
  </mergeCells>
  <conditionalFormatting sqref="B2:Z31">
    <cfRule type="expression" dxfId="7" priority="1">
      <formula>$B$2=FALSE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CB77CA03-F894-423A-910C-8001A951562F}">
            <xm:f>'Dados - Fase Plástica'!$P$1="ERRO"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B2:Z31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4525-BE0F-40FE-B6BC-3D771440F53B}">
  <dimension ref="B1:Z31"/>
  <sheetViews>
    <sheetView view="pageBreakPreview" zoomScaleNormal="100" zoomScaleSheetLayoutView="100" workbookViewId="0">
      <selection activeCell="N2" sqref="N2:O2"/>
    </sheetView>
  </sheetViews>
  <sheetFormatPr defaultColWidth="9.125" defaultRowHeight="15.75"/>
  <cols>
    <col min="1" max="1" width="9.125" style="27"/>
    <col min="2" max="2" width="15.625" style="27" bestFit="1" customWidth="1"/>
    <col min="3" max="12" width="0" style="27" hidden="1" customWidth="1"/>
    <col min="13" max="18" width="16.125" style="27" customWidth="1"/>
    <col min="19" max="26" width="13.375" style="27" customWidth="1"/>
    <col min="27" max="16384" width="9.125" style="27"/>
  </cols>
  <sheetData>
    <row r="1" spans="2:26" ht="16.5" thickBot="1"/>
    <row r="2" spans="2:26" ht="28.5" customHeight="1">
      <c r="B2" s="73" t="b">
        <f>'Escopo de Estudo'!T10</f>
        <v>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49" t="str">
        <f>IF('Cadastro de Insumos'!O34=FALSE,"","p1")</f>
        <v>p1</v>
      </c>
      <c r="N2" s="260" t="str">
        <f>IF(M2="","",'Cadastro de Insumos'!E34&amp;" - "&amp;'Cadastro de Insumos'!E35&amp;" - "&amp;'Cadastro de Insumos'!E36)</f>
        <v>Brita 1 - Serra de São Vicente - Cuiabá-MT</v>
      </c>
      <c r="O2" s="260"/>
      <c r="P2" s="68" t="str">
        <f>IF(M2="","","Quantidade (kg)")</f>
        <v>Quantidade (kg)</v>
      </c>
      <c r="Q2" s="71">
        <f>IF(M2="","",'Escopo de Estudo'!D30*'Cadastro de Insumos'!P34)</f>
        <v>12</v>
      </c>
      <c r="R2" s="50"/>
      <c r="S2" s="50"/>
      <c r="T2" s="49" t="str">
        <f>IF('Cadastro de Insumos'!O42=FALSE,"","p3")</f>
        <v/>
      </c>
      <c r="U2" s="248" t="str">
        <f>IF(T2="","",'Cadastro de Insumos'!E42&amp;" - "&amp;'Cadastro de Insumos'!E43&amp;" - "&amp;'Cadastro de Insumos'!E44)</f>
        <v/>
      </c>
      <c r="V2" s="248"/>
      <c r="W2" s="248"/>
      <c r="X2" s="68" t="str">
        <f>IF(U2="","","Quantidade (kg)")</f>
        <v/>
      </c>
      <c r="Y2" s="51" t="str">
        <f>IF(T2="","",'Escopo de Estudo'!D30*'Cadastro de Insumos'!P42)</f>
        <v/>
      </c>
      <c r="Z2" s="51"/>
    </row>
    <row r="3" spans="2:26" ht="28.5" customHeight="1" thickBot="1">
      <c r="B3" s="52"/>
      <c r="M3" s="59" t="str">
        <f>IF('Cadastro de Insumos'!O38=FALSE,"","p2")</f>
        <v>p2</v>
      </c>
      <c r="N3" s="261" t="str">
        <f>IF(M3="","",'Cadastro de Insumos'!E38&amp;" - "&amp;'Cadastro de Insumos'!E39&amp;" - "&amp;'Cadastro de Insumos'!E40)</f>
        <v>Brita 0 - Serra de São Vicente - Cuiabá-MT</v>
      </c>
      <c r="O3" s="261"/>
      <c r="P3" s="69" t="str">
        <f>IF(M3="","","Quantidade (kg)")</f>
        <v>Quantidade (kg)</v>
      </c>
      <c r="Q3" s="58">
        <f>IF(M3="","",'Escopo de Estudo'!D30*'Cadastro de Insumos'!P38)</f>
        <v>8</v>
      </c>
      <c r="T3" s="59" t="str">
        <f>IF('Cadastro de Insumos'!O46=FALSE,"","p4")</f>
        <v/>
      </c>
      <c r="U3" s="262" t="str">
        <f>IF(T3="","",'Cadastro de Insumos'!E46&amp;" - "&amp;'Cadastro de Insumos'!E47&amp;" - "&amp;'Cadastro de Insumos'!E48)</f>
        <v/>
      </c>
      <c r="V3" s="262"/>
      <c r="W3" s="262"/>
      <c r="X3" s="69" t="str">
        <f>IF(U3="","","Quantidade (kg)")</f>
        <v/>
      </c>
      <c r="Y3" s="61" t="str">
        <f>IF(T3="","",'Escopo de Estudo'!D30*'Cadastro de Insumos'!P46)</f>
        <v/>
      </c>
      <c r="Z3" s="53"/>
    </row>
    <row r="4" spans="2:26" ht="15.75" customHeight="1" thickBot="1">
      <c r="B4" s="52"/>
      <c r="Z4" s="53"/>
    </row>
    <row r="5" spans="2:26" ht="28.5" customHeight="1">
      <c r="B5" s="47" t="s">
        <v>81</v>
      </c>
      <c r="M5" s="49" t="str">
        <f>M10</f>
        <v>CP</v>
      </c>
      <c r="N5" s="254" t="str">
        <f>IF(M5="","",'Cadastro de Insumos'!E6&amp;" - "&amp;'Cadastro de Insumos'!E7&amp;" - "&amp;'Cadastro de Insumos'!E8)</f>
        <v>CP II F 40 - Votorantim - Cuiabá-MT</v>
      </c>
      <c r="O5" s="255"/>
      <c r="P5" s="49" t="str">
        <f>P10</f>
        <v>a1</v>
      </c>
      <c r="Q5" s="254" t="str">
        <f>IF(P5="","",'Cadastro de Insumos'!E20&amp;" - "&amp;'Cadastro de Insumos'!E21&amp;" - "&amp;'Cadastro de Insumos'!E22)</f>
        <v>Areia Natural do Rio Cuiabá - - - Cuiabá - MT</v>
      </c>
      <c r="R5" s="255"/>
      <c r="S5" s="49" t="str">
        <f>S10</f>
        <v/>
      </c>
      <c r="T5" s="254" t="str">
        <f>IF(S5="","",'Cadastro de Insumos'!E52&amp;" - "&amp;'Cadastro de Insumos'!E53&amp;" - "&amp;'Cadastro de Insumos'!E54*100&amp;"% - "&amp;'Cadastro de Insumos'!L54)</f>
        <v/>
      </c>
      <c r="U5" s="254"/>
      <c r="V5" s="255"/>
      <c r="W5" s="49" t="str">
        <f>W10</f>
        <v/>
      </c>
      <c r="X5" s="254"/>
      <c r="Y5" s="254"/>
      <c r="Z5" s="255"/>
    </row>
    <row r="6" spans="2:26" ht="28.5" customHeight="1" thickBot="1">
      <c r="B6" s="48">
        <f>'Escopo de Estudo'!T8</f>
        <v>7</v>
      </c>
      <c r="M6" s="52" t="str">
        <f>N10</f>
        <v/>
      </c>
      <c r="N6" s="256" t="str">
        <f>IF(M6="","",'Cadastro de Insumos'!E10&amp;" - "&amp;'Cadastro de Insumos'!E11&amp;" - "&amp;'Cadastro de Insumos'!E12)</f>
        <v/>
      </c>
      <c r="O6" s="257"/>
      <c r="P6" s="52" t="str">
        <f>Q10</f>
        <v/>
      </c>
      <c r="Q6" s="256" t="str">
        <f>IF(P6="","",'Cadastro de Insumos'!E24&amp;" - "&amp;'Cadastro de Insumos'!E25&amp;" - "&amp;'Cadastro de Insumos'!E26)</f>
        <v/>
      </c>
      <c r="R6" s="257"/>
      <c r="S6" s="52" t="str">
        <f>T10</f>
        <v/>
      </c>
      <c r="T6" s="256" t="str">
        <f>IF(S6="","",'Cadastro de Insumos'!E56&amp;" - "&amp;'Cadastro de Insumos'!E57&amp;" - "&amp;'Cadastro de Insumos'!E58*100&amp;"% - "&amp;'Cadastro de Insumos'!L58)</f>
        <v/>
      </c>
      <c r="U6" s="256"/>
      <c r="V6" s="257"/>
      <c r="W6" s="52" t="str">
        <f>X10</f>
        <v/>
      </c>
      <c r="X6" s="256"/>
      <c r="Y6" s="256"/>
      <c r="Z6" s="257"/>
    </row>
    <row r="7" spans="2:26" ht="28.5" customHeight="1" thickBot="1">
      <c r="B7" s="52"/>
      <c r="M7" s="59" t="str">
        <f>O10</f>
        <v/>
      </c>
      <c r="N7" s="258" t="str">
        <f>IF(M7="","",'Cadastro de Insumos'!E14&amp;" - "&amp;'Cadastro de Insumos'!E15&amp;" - "&amp;'Cadastro de Insumos'!E16)</f>
        <v/>
      </c>
      <c r="O7" s="259"/>
      <c r="P7" s="59" t="str">
        <f>R10</f>
        <v/>
      </c>
      <c r="Q7" s="258" t="str">
        <f>IF(P7="","",'Cadastro de Insumos'!E28&amp;" - "&amp;'Cadastro de Insumos'!E29&amp;" - "&amp;'Cadastro de Insumos'!E30)</f>
        <v/>
      </c>
      <c r="R7" s="259"/>
      <c r="S7" s="52" t="str">
        <f>U10</f>
        <v/>
      </c>
      <c r="T7" s="256" t="str">
        <f>IF(S7="","",'Cadastro de Insumos'!E60&amp;" - "&amp;'Cadastro de Insumos'!E61&amp;" - "&amp;'Cadastro de Insumos'!E62*100&amp;"% - "&amp;'Cadastro de Insumos'!L62)</f>
        <v/>
      </c>
      <c r="U7" s="256"/>
      <c r="V7" s="257"/>
      <c r="W7" s="52" t="str">
        <f>Y10</f>
        <v/>
      </c>
      <c r="X7" s="256"/>
      <c r="Y7" s="256"/>
      <c r="Z7" s="257"/>
    </row>
    <row r="8" spans="2:26" ht="28.5" customHeight="1" thickBot="1">
      <c r="B8" s="52"/>
      <c r="M8" s="50"/>
      <c r="N8" s="50"/>
      <c r="O8" s="50"/>
      <c r="Q8" s="50"/>
      <c r="R8" s="53"/>
      <c r="S8" s="59" t="str">
        <f>V10</f>
        <v/>
      </c>
      <c r="T8" s="258" t="str">
        <f>IF(S8="","",'Cadastro de Insumos'!E64&amp;" - "&amp;'Cadastro de Insumos'!E65&amp;" - "&amp;'Cadastro de Insumos'!E66*100&amp;"% - "&amp;'Cadastro de Insumos'!L66)</f>
        <v/>
      </c>
      <c r="U8" s="258"/>
      <c r="V8" s="259"/>
      <c r="W8" s="59" t="str">
        <f>Z10</f>
        <v/>
      </c>
      <c r="X8" s="258"/>
      <c r="Y8" s="258"/>
      <c r="Z8" s="259"/>
    </row>
    <row r="9" spans="2:26">
      <c r="B9" s="250" t="s">
        <v>65</v>
      </c>
      <c r="C9" s="248" t="s">
        <v>121</v>
      </c>
      <c r="D9" s="248"/>
      <c r="E9" s="248"/>
      <c r="F9" s="248"/>
      <c r="G9" s="248"/>
      <c r="H9" s="248"/>
      <c r="I9" s="248"/>
      <c r="J9" s="248"/>
      <c r="K9" s="248"/>
      <c r="L9" s="50"/>
      <c r="M9" s="247" t="s">
        <v>122</v>
      </c>
      <c r="N9" s="248"/>
      <c r="O9" s="249"/>
      <c r="P9" s="247" t="s">
        <v>123</v>
      </c>
      <c r="Q9" s="248"/>
      <c r="R9" s="249"/>
      <c r="S9" s="247" t="s">
        <v>124</v>
      </c>
      <c r="T9" s="248"/>
      <c r="U9" s="248"/>
      <c r="V9" s="249"/>
      <c r="W9" s="247" t="s">
        <v>125</v>
      </c>
      <c r="X9" s="248"/>
      <c r="Y9" s="248"/>
      <c r="Z9" s="249"/>
    </row>
    <row r="10" spans="2:26" ht="16.5" thickBot="1">
      <c r="B10" s="251"/>
      <c r="C10" s="60" t="s">
        <v>79</v>
      </c>
      <c r="D10" s="60" t="s">
        <v>126</v>
      </c>
      <c r="E10" s="60" t="s">
        <v>127</v>
      </c>
      <c r="F10" s="60" t="s">
        <v>128</v>
      </c>
      <c r="G10" s="60" t="s">
        <v>129</v>
      </c>
      <c r="H10" s="60" t="s">
        <v>130</v>
      </c>
      <c r="I10" s="60" t="s">
        <v>131</v>
      </c>
      <c r="J10" s="60" t="s">
        <v>132</v>
      </c>
      <c r="K10" s="60" t="s">
        <v>133</v>
      </c>
      <c r="L10" s="60" t="s">
        <v>134</v>
      </c>
      <c r="M10" s="59" t="s">
        <v>79</v>
      </c>
      <c r="N10" s="60" t="str">
        <f>IF('Cadastro de Insumos'!O10=FALSE,"","MCS1")</f>
        <v/>
      </c>
      <c r="O10" s="61" t="str">
        <f>IF('Cadastro de Insumos'!O14=FALSE,"","MCS2")</f>
        <v/>
      </c>
      <c r="P10" s="59" t="str">
        <f>IF('Cadastro de Insumos'!O20=FALSE,"","a1")</f>
        <v>a1</v>
      </c>
      <c r="Q10" s="60" t="str">
        <f>IF('Cadastro de Insumos'!O24=FALSE,"","a2")</f>
        <v/>
      </c>
      <c r="R10" s="61" t="str">
        <f>IF('Cadastro de Insumos'!O28=FALSE,"","a3")</f>
        <v/>
      </c>
      <c r="S10" s="59" t="str">
        <f>IF('Cadastro de Insumos'!O52=FALSE,"","Adt1"&amp;IF('Cadastro de Insumos'!P52=FALSE," - ml"," - g"))</f>
        <v/>
      </c>
      <c r="T10" s="60" t="str">
        <f>IF('Cadastro de Insumos'!O56=FALSE,"","Adt2"&amp;IF('Cadastro de Insumos'!P56=FALSE," - ml"," - g"))</f>
        <v/>
      </c>
      <c r="U10" s="60" t="str">
        <f>IF('Cadastro de Insumos'!O60=FALSE,"","Adt3"&amp;IF('Cadastro de Insumos'!P60=FALSE," - ml"," - g"))</f>
        <v/>
      </c>
      <c r="V10" s="61" t="str">
        <f>IF('Cadastro de Insumos'!O64=FALSE,"","Adt4"&amp;IF('Cadastro de Insumos'!P64=FALSE," - ml"," - g"))</f>
        <v/>
      </c>
      <c r="W10" s="59" t="str">
        <f>IF('Cadastro de Insumos'!O70=FALSE,"","Adc1"&amp;IF('Cadastro de Insumos'!P70=FALSE," - ml"," - g"))</f>
        <v/>
      </c>
      <c r="X10" s="60" t="str">
        <f>IF('Cadastro de Insumos'!O74=FALSE,"","Adc2"&amp;IF('Cadastro de Insumos'!P74=FALSE," - ml"," - g"))</f>
        <v/>
      </c>
      <c r="Y10" s="60" t="str">
        <f>IF('Cadastro de Insumos'!O78=FALSE,"","Adc4"&amp;IF('Cadastro de Insumos'!P78=FALSE," - ml"," - g"))</f>
        <v/>
      </c>
      <c r="Z10" s="61" t="str">
        <f>IF('Cadastro de Insumos'!O82=FALSE,"","Adc4"&amp;IF('Cadastro de Insumos'!P82=FALSE," - ml"," - g"))</f>
        <v/>
      </c>
    </row>
    <row r="11" spans="2:26" ht="16.5" thickBot="1">
      <c r="B11" s="62">
        <f>'Escopo de Estudo'!J30</f>
        <v>0.51</v>
      </c>
      <c r="C11" s="27">
        <f>1*'Cadastro de Insumos'!$P$6</f>
        <v>1</v>
      </c>
      <c r="D11" s="27">
        <f>1*'Cadastro de Insumos'!$P$10</f>
        <v>0</v>
      </c>
      <c r="E11" s="27">
        <f>1*'Cadastro de Insumos'!$P$14</f>
        <v>0</v>
      </c>
      <c r="F11" s="72">
        <f>(B11*(1+$B$6)-1)*'Cadastro de Insumos'!$P$20</f>
        <v>2.1559999999999997</v>
      </c>
      <c r="G11" s="72">
        <f>(B11*(1+$B$6)-1)*'Cadastro de Insumos'!$P$24</f>
        <v>0</v>
      </c>
      <c r="H11" s="72">
        <f>(B11*(1+$B$6)-1)*'Cadastro de Insumos'!$P$28</f>
        <v>0</v>
      </c>
      <c r="I11" s="72">
        <f>($B$6-(SUM(F11:H11)))*'Cadastro de Insumos'!$P$34</f>
        <v>2.9064000000000001</v>
      </c>
      <c r="J11" s="72">
        <f>($B$6-(SUM(F11:H11)))*'Cadastro de Insumos'!$P$38</f>
        <v>1.9376000000000002</v>
      </c>
      <c r="K11" s="72">
        <f>($B$6-(SUM(F11:H11)))*'Cadastro de Insumos'!$P$42</f>
        <v>0</v>
      </c>
      <c r="L11" s="72">
        <f>($B$6-(SUM(F11:H11)))*'Cadastro de Insumos'!$P$46</f>
        <v>0</v>
      </c>
      <c r="M11" s="54">
        <f>IF(C11=0,"",('Escopo de Estudo'!$D$30/SUM('Ficha de Dosagem - E'!I11:L11))*C11)</f>
        <v>4.1288191577208915</v>
      </c>
      <c r="N11" s="72" t="str">
        <f>IF(N10="","",('Escopo de Estudo'!$D$30/SUM('Ficha de Dosagem - E'!I11:L11))*D11)</f>
        <v/>
      </c>
      <c r="O11" s="55" t="str">
        <f>IF(O10="","",('Escopo de Estudo'!$D$30/SUM('Ficha de Dosagem - E'!I11:L11))*E11)</f>
        <v/>
      </c>
      <c r="P11" s="54">
        <f>IF(F11=0,"",SUM(M11:O11)*F11)</f>
        <v>8.9017341040462412</v>
      </c>
      <c r="Q11" s="72" t="str">
        <f>IF($Q$10="","",SUM(M11:O11)*G11)</f>
        <v/>
      </c>
      <c r="R11" s="55" t="str">
        <f>IF($R$10="","",SUM(M11:O11)*H11)</f>
        <v/>
      </c>
      <c r="S11" s="54" t="str">
        <f>IF('Cadastro de Insumos'!$O$52=FALSE,"",IF('Cadastro de Insumos'!$P$52=FALSE,(('Cadastro de Insumos'!$E$54*M11)/'Cadastro de Insumos'!$L$54)*1000,(('Cadastro de Insumos'!$E$54*M11)*1000)))</f>
        <v/>
      </c>
      <c r="T11" s="72" t="str">
        <f>IF('Cadastro de Insumos'!$O$56=FALSE,"",IF('Cadastro de Insumos'!$P$56=FALSE,(('Cadastro de Insumos'!$E$58*M11)/'Cadastro de Insumos'!$L$58)*1000,(('Cadastro de Insumos'!$E$58*M11)*1000)))</f>
        <v/>
      </c>
      <c r="U11" s="72" t="str">
        <f>IF('Cadastro de Insumos'!$O$60=FALSE,"",IF('Cadastro de Insumos'!$P$60=FALSE,(('Cadastro de Insumos'!$E$62*M11)/'Cadastro de Insumos'!$L$62)*1000,(('Cadastro de Insumos'!$E$62*M11)*1000)))</f>
        <v/>
      </c>
      <c r="V11" s="55" t="str">
        <f>IF('Cadastro de Insumos'!$O$64=FALSE,"",IF('Cadastro de Insumos'!$P$64=FALSE,(('Cadastro de Insumos'!$E$66*M11)/'Cadastro de Insumos'!$L$66)*1000,(('Cadastro de Insumos'!$E$66*M11)*1000)))</f>
        <v/>
      </c>
      <c r="W11" s="54" t="str">
        <f>IF('Cadastro de Insumos'!$O$70=FALSE,"",IF('Cadastro de Insumos'!$P$70=FALSE,(('Cadastro de Insumos'!$E$72*M11)/'Cadastro de Insumos'!$L$72)*1000,(('Cadastro de Insumos'!$E$72*M11)*1000)))</f>
        <v/>
      </c>
      <c r="X11" s="72" t="str">
        <f>IF('Cadastro de Insumos'!$O$74=FALSE,"",IF('Cadastro de Insumos'!$P$74=FALSE,(('Cadastro de Insumos'!$E$76*M11)/'Cadastro de Insumos'!$L$76)*1000,(('Cadastro de Insumos'!$E$76*M11)*1000)))</f>
        <v/>
      </c>
      <c r="Y11" s="72" t="str">
        <f>IF('Cadastro de Insumos'!$O$78=FALSE,"",IF('Cadastro de Insumos'!$P$78=FALSE,(('Cadastro de Insumos'!$E$80*M11)/'Cadastro de Insumos'!$L$80)*1000,(('Cadastro de Insumos'!$E$80*M11)*1000)))</f>
        <v/>
      </c>
      <c r="Z11" s="55" t="str">
        <f>IF('Cadastro de Insumos'!$O$82=FALSE,"",IF('Cadastro de Insumos'!$P$82=FALSE,(('Cadastro de Insumos'!$E$84*M11)/'Cadastro de Insumos'!$L$84)*1000,(('Cadastro de Insumos'!$E$84*M11)*1000)))</f>
        <v/>
      </c>
    </row>
    <row r="12" spans="2:26">
      <c r="B12" s="252">
        <f>B11+0.01</f>
        <v>0.52</v>
      </c>
      <c r="C12" s="50"/>
      <c r="D12" s="50"/>
      <c r="E12" s="50"/>
      <c r="F12" s="63"/>
      <c r="G12" s="63"/>
      <c r="H12" s="63"/>
      <c r="I12" s="63"/>
      <c r="J12" s="63"/>
      <c r="K12" s="63"/>
      <c r="L12" s="63"/>
      <c r="M12" s="64" t="str">
        <f>IF(M13="","","+"&amp;ROUND(M13-M11,3))</f>
        <v>+0,048</v>
      </c>
      <c r="N12" s="65" t="str">
        <f>IF(N13="","","+"&amp;ROUND(N13-N11,3))</f>
        <v/>
      </c>
      <c r="O12" s="66" t="str">
        <f>IF(O13="","","+"&amp;ROUND(O13-O11,3))</f>
        <v/>
      </c>
      <c r="P12" s="64" t="str">
        <f t="shared" ref="P12:Z12" si="0">IF(P13="","","+"&amp;ROUND(P13-P11,3))</f>
        <v>+0,338</v>
      </c>
      <c r="Q12" s="65" t="str">
        <f t="shared" si="0"/>
        <v/>
      </c>
      <c r="R12" s="67" t="str">
        <f t="shared" si="0"/>
        <v/>
      </c>
      <c r="S12" s="64" t="str">
        <f t="shared" si="0"/>
        <v/>
      </c>
      <c r="T12" s="65" t="str">
        <f t="shared" si="0"/>
        <v/>
      </c>
      <c r="U12" s="65" t="str">
        <f t="shared" si="0"/>
        <v/>
      </c>
      <c r="V12" s="67" t="str">
        <f t="shared" si="0"/>
        <v/>
      </c>
      <c r="W12" s="64" t="str">
        <f t="shared" si="0"/>
        <v/>
      </c>
      <c r="X12" s="65" t="str">
        <f t="shared" si="0"/>
        <v/>
      </c>
      <c r="Y12" s="65" t="str">
        <f t="shared" si="0"/>
        <v/>
      </c>
      <c r="Z12" s="67" t="str">
        <f t="shared" si="0"/>
        <v/>
      </c>
    </row>
    <row r="13" spans="2:26" ht="16.5" thickBot="1">
      <c r="B13" s="253"/>
      <c r="C13" s="60">
        <f>1*'Cadastro de Insumos'!$P$6</f>
        <v>1</v>
      </c>
      <c r="D13" s="60">
        <f>1*'Cadastro de Insumos'!$P$10</f>
        <v>0</v>
      </c>
      <c r="E13" s="60">
        <f>1*'Cadastro de Insumos'!$P$14</f>
        <v>0</v>
      </c>
      <c r="F13" s="57">
        <f>(B12*(1+$B$6)-1)*'Cadastro de Insumos'!$P$20</f>
        <v>2.2119999999999997</v>
      </c>
      <c r="G13" s="57">
        <f>(B12*(1+$B$6)-1)*'Cadastro de Insumos'!$P$24</f>
        <v>0</v>
      </c>
      <c r="H13" s="57">
        <f>(B12*(1+$B$6)-1)*'Cadastro de Insumos'!$P$28</f>
        <v>0</v>
      </c>
      <c r="I13" s="57">
        <f>($B$6-(SUM(F13:H13)))*'Cadastro de Insumos'!$P$34</f>
        <v>2.8728000000000002</v>
      </c>
      <c r="J13" s="57">
        <f>($B$6-(SUM(F13:H13)))*'Cadastro de Insumos'!$P$38</f>
        <v>1.9152000000000002</v>
      </c>
      <c r="K13" s="57">
        <f>($B$6-(SUM(F13:H13)))*'Cadastro de Insumos'!$P$42</f>
        <v>0</v>
      </c>
      <c r="L13" s="57">
        <f>($B$6-(SUM(F13:H13)))*'Cadastro de Insumos'!$P$46</f>
        <v>0</v>
      </c>
      <c r="M13" s="56">
        <f>IF(C13=0,"",('Escopo de Estudo'!$D$30/SUM('Ficha de Dosagem - E'!I13:L13))*C13)</f>
        <v>4.1771094402673352</v>
      </c>
      <c r="N13" s="57" t="str">
        <f>IF(N10="","",('Escopo de Estudo'!$D$30/SUM('Ficha de Dosagem - E'!I13:L13))*D13)</f>
        <v/>
      </c>
      <c r="O13" s="58" t="str">
        <f>IF(O10="","",('Escopo de Estudo'!$D$30/SUM('Ficha de Dosagem - E'!I13:L13))*E13)</f>
        <v/>
      </c>
      <c r="P13" s="56">
        <f t="shared" ref="P13:P31" si="1">IF(F13=0,"",SUM(M13:O13)*F13)</f>
        <v>9.2397660818713447</v>
      </c>
      <c r="Q13" s="72" t="str">
        <f>IF($Q$10="","",SUM(M13:O13)*G13)</f>
        <v/>
      </c>
      <c r="R13" s="55" t="str">
        <f>IF($R$10="","",SUM(M13:O13)*H13)</f>
        <v/>
      </c>
      <c r="S13" s="56" t="str">
        <f>IF('Cadastro de Insumos'!$O$52=FALSE,"",IF('Cadastro de Insumos'!$P$52=FALSE,(('Cadastro de Insumos'!$E$54*M13)/'Cadastro de Insumos'!$L$54)*1000,(('Cadastro de Insumos'!$E$54*M13)*1000)))</f>
        <v/>
      </c>
      <c r="T13" s="57" t="str">
        <f>IF('Cadastro de Insumos'!$O$56=FALSE,"",IF('Cadastro de Insumos'!$P$56=FALSE,(('Cadastro de Insumos'!$E$58*M13)/'Cadastro de Insumos'!$L$58)*1000,(('Cadastro de Insumos'!$E$58*M13)*1000)))</f>
        <v/>
      </c>
      <c r="U13" s="57" t="str">
        <f>IF('Cadastro de Insumos'!$O$60=FALSE,"",IF('Cadastro de Insumos'!$P$60=FALSE,(('Cadastro de Insumos'!$E$62*M13)/'Cadastro de Insumos'!$L$62)*1000,(('Cadastro de Insumos'!$E$62*M13)*1000)))</f>
        <v/>
      </c>
      <c r="V13" s="58" t="str">
        <f>IF('Cadastro de Insumos'!$O$64=FALSE,"",IF('Cadastro de Insumos'!$P$64=FALSE,(('Cadastro de Insumos'!$E$66*M13)/'Cadastro de Insumos'!$L$66)*1000,(('Cadastro de Insumos'!$E$66*M13)*1000)))</f>
        <v/>
      </c>
      <c r="W13" s="56" t="str">
        <f>IF('Cadastro de Insumos'!$O$70=FALSE,"",IF('Cadastro de Insumos'!$P$70=FALSE,(('Cadastro de Insumos'!$E$72*M13)/'Cadastro de Insumos'!$L$72)*1000,(('Cadastro de Insumos'!$E$72*M13)*1000)))</f>
        <v/>
      </c>
      <c r="X13" s="57" t="str">
        <f>IF('Cadastro de Insumos'!$O$74=FALSE,"",IF('Cadastro de Insumos'!$P$74=FALSE,(('Cadastro de Insumos'!$E$76*M13)/'Cadastro de Insumos'!$L$76)*1000,(('Cadastro de Insumos'!$E$76*M13)*1000)))</f>
        <v/>
      </c>
      <c r="Y13" s="57" t="str">
        <f>IF('Cadastro de Insumos'!$O$78=FALSE,"",IF('Cadastro de Insumos'!$P$78=FALSE,(('Cadastro de Insumos'!$E$80*M13)/'Cadastro de Insumos'!$L$80)*1000,(('Cadastro de Insumos'!$E$80*M13)*1000)))</f>
        <v/>
      </c>
      <c r="Z13" s="58" t="str">
        <f>IF('Cadastro de Insumos'!$O$82=FALSE,"",IF('Cadastro de Insumos'!$P$82=FALSE,(('Cadastro de Insumos'!$E$84*M13)/'Cadastro de Insumos'!$L$84)*1000,(('Cadastro de Insumos'!$E$84*M13)*1000)))</f>
        <v/>
      </c>
    </row>
    <row r="14" spans="2:26">
      <c r="B14" s="252">
        <f>B12+0.01</f>
        <v>0.53</v>
      </c>
      <c r="C14" s="50"/>
      <c r="D14" s="50"/>
      <c r="E14" s="50"/>
      <c r="F14" s="63"/>
      <c r="G14" s="63"/>
      <c r="H14" s="63"/>
      <c r="I14" s="63"/>
      <c r="J14" s="63"/>
      <c r="K14" s="63"/>
      <c r="L14" s="63"/>
      <c r="M14" s="64" t="str">
        <f>IF(M15="","","+"&amp;ROUND(M15-M13,3))</f>
        <v>+0,049</v>
      </c>
      <c r="N14" s="65" t="str">
        <f>IF(N15="","","+"&amp;ROUND(N15-N13,3))</f>
        <v/>
      </c>
      <c r="O14" s="66" t="str">
        <f>IF(O15="","","+"&amp;ROUND(O15-O13,3))</f>
        <v/>
      </c>
      <c r="P14" s="64" t="str">
        <f t="shared" ref="P14:Z14" si="2">IF(P15="","","+"&amp;ROUND(P15-P13,3))</f>
        <v>+0,346</v>
      </c>
      <c r="Q14" s="65" t="str">
        <f t="shared" si="2"/>
        <v/>
      </c>
      <c r="R14" s="67" t="str">
        <f t="shared" si="2"/>
        <v/>
      </c>
      <c r="S14" s="64" t="str">
        <f t="shared" si="2"/>
        <v/>
      </c>
      <c r="T14" s="65" t="str">
        <f t="shared" si="2"/>
        <v/>
      </c>
      <c r="U14" s="65" t="str">
        <f t="shared" si="2"/>
        <v/>
      </c>
      <c r="V14" s="67" t="str">
        <f t="shared" si="2"/>
        <v/>
      </c>
      <c r="W14" s="64" t="str">
        <f t="shared" si="2"/>
        <v/>
      </c>
      <c r="X14" s="65" t="str">
        <f t="shared" si="2"/>
        <v/>
      </c>
      <c r="Y14" s="65" t="str">
        <f t="shared" si="2"/>
        <v/>
      </c>
      <c r="Z14" s="67" t="str">
        <f t="shared" si="2"/>
        <v/>
      </c>
    </row>
    <row r="15" spans="2:26" ht="16.5" thickBot="1">
      <c r="B15" s="253"/>
      <c r="C15" s="60">
        <f>1*'Cadastro de Insumos'!$P$6</f>
        <v>1</v>
      </c>
      <c r="D15" s="60">
        <f>1*'Cadastro de Insumos'!$P$10</f>
        <v>0</v>
      </c>
      <c r="E15" s="60">
        <f>1*'Cadastro de Insumos'!$P$14</f>
        <v>0</v>
      </c>
      <c r="F15" s="57">
        <f>(B14*(1+$B$6)-1)*'Cadastro de Insumos'!$P$20</f>
        <v>2.2679999999999998</v>
      </c>
      <c r="G15" s="57">
        <f>(B14*(1+$B$6)-1)*'Cadastro de Insumos'!$P$24</f>
        <v>0</v>
      </c>
      <c r="H15" s="57">
        <f>(B14*(1+$B$6)-1)*'Cadastro de Insumos'!$P$28</f>
        <v>0</v>
      </c>
      <c r="I15" s="57">
        <f>($B$6-(SUM(F15:H15)))*'Cadastro de Insumos'!$P$34</f>
        <v>2.8391999999999999</v>
      </c>
      <c r="J15" s="57">
        <f>($B$6-(SUM(F15:H15)))*'Cadastro de Insumos'!$P$38</f>
        <v>1.8928000000000003</v>
      </c>
      <c r="K15" s="57">
        <f>($B$6-(SUM(F15:H15)))*'Cadastro de Insumos'!$P$42</f>
        <v>0</v>
      </c>
      <c r="L15" s="57">
        <f>($B$6-(SUM(F15:H15)))*'Cadastro de Insumos'!$P$46</f>
        <v>0</v>
      </c>
      <c r="M15" s="56">
        <f>IF(C15=0,"",('Escopo de Estudo'!$D$30/SUM('Ficha de Dosagem - E'!I15:L15))*C15)</f>
        <v>4.2265426880811496</v>
      </c>
      <c r="N15" s="57" t="str">
        <f>IF(N11="","",('Escopo de Estudo'!$D$30/SUM('Ficha de Dosagem - E'!I15:L15))*D15)</f>
        <v/>
      </c>
      <c r="O15" s="58" t="str">
        <f>IF(O10="","",('Escopo de Estudo'!$D$30/SUM('Ficha de Dosagem - E'!I15:L15))*E15)</f>
        <v/>
      </c>
      <c r="P15" s="56">
        <f t="shared" si="1"/>
        <v>9.5857988165680457</v>
      </c>
      <c r="Q15" s="72" t="str">
        <f>IF($Q$10="","",SUM(M15:O15)*G15)</f>
        <v/>
      </c>
      <c r="R15" s="55" t="str">
        <f>IF($R$10="","",SUM(M15:O15)*H15)</f>
        <v/>
      </c>
      <c r="S15" s="56" t="str">
        <f>IF('Cadastro de Insumos'!$O$52=FALSE,"",IF('Cadastro de Insumos'!$P$52=FALSE,(('Cadastro de Insumos'!$E$54*M15)/'Cadastro de Insumos'!$L$54)*1000,(('Cadastro de Insumos'!$E$54*M15)*1000)))</f>
        <v/>
      </c>
      <c r="T15" s="57" t="str">
        <f>IF('Cadastro de Insumos'!$O$56=FALSE,"",IF('Cadastro de Insumos'!$P$56=FALSE,(('Cadastro de Insumos'!$E$58*M15)/'Cadastro de Insumos'!$L$58)*1000,(('Cadastro de Insumos'!$E$58*M15)*1000)))</f>
        <v/>
      </c>
      <c r="U15" s="57" t="str">
        <f>IF('Cadastro de Insumos'!$O$60=FALSE,"",IF('Cadastro de Insumos'!$P$60=FALSE,(('Cadastro de Insumos'!$E$62*M15)/'Cadastro de Insumos'!$L$62)*1000,(('Cadastro de Insumos'!$E$62*M15)*1000)))</f>
        <v/>
      </c>
      <c r="V15" s="58" t="str">
        <f>IF('Cadastro de Insumos'!$O$64=FALSE,"",IF('Cadastro de Insumos'!$P$64=FALSE,(('Cadastro de Insumos'!$E$66*M15)/'Cadastro de Insumos'!$L$66)*1000,(('Cadastro de Insumos'!$E$66*M15)*1000)))</f>
        <v/>
      </c>
      <c r="W15" s="56" t="str">
        <f>IF('Cadastro de Insumos'!$O$70=FALSE,"",IF('Cadastro de Insumos'!$P$70=FALSE,(('Cadastro de Insumos'!$E$72*M15)/'Cadastro de Insumos'!$L$72)*1000,(('Cadastro de Insumos'!$E$72*M15)*1000)))</f>
        <v/>
      </c>
      <c r="X15" s="57" t="str">
        <f>IF('Cadastro de Insumos'!$O$74=FALSE,"",IF('Cadastro de Insumos'!$P$74=FALSE,(('Cadastro de Insumos'!$E$76*M15)/'Cadastro de Insumos'!$L$76)*1000,(('Cadastro de Insumos'!$E$76*M15)*1000)))</f>
        <v/>
      </c>
      <c r="Y15" s="57" t="str">
        <f>IF('Cadastro de Insumos'!$O$78=FALSE,"",IF('Cadastro de Insumos'!$P$78=FALSE,(('Cadastro de Insumos'!$E$80*M15)/'Cadastro de Insumos'!$L$80)*1000,(('Cadastro de Insumos'!$E$80*M15)*1000)))</f>
        <v/>
      </c>
      <c r="Z15" s="58" t="str">
        <f>IF('Cadastro de Insumos'!$O$82=FALSE,"",IF('Cadastro de Insumos'!$P$82=FALSE,(('Cadastro de Insumos'!$E$84*M15)/'Cadastro de Insumos'!$L$84)*1000,(('Cadastro de Insumos'!$E$84*M15)*1000)))</f>
        <v/>
      </c>
    </row>
    <row r="16" spans="2:26">
      <c r="B16" s="252">
        <f>B14+0.01</f>
        <v>0.54</v>
      </c>
      <c r="C16" s="50"/>
      <c r="D16" s="50"/>
      <c r="E16" s="50"/>
      <c r="F16" s="63"/>
      <c r="G16" s="63"/>
      <c r="H16" s="63"/>
      <c r="I16" s="63"/>
      <c r="J16" s="63"/>
      <c r="K16" s="63"/>
      <c r="L16" s="63"/>
      <c r="M16" s="64" t="str">
        <f>IF(M17="","","+"&amp;ROUND(M17-M15,3))</f>
        <v>+0,051</v>
      </c>
      <c r="N16" s="65" t="str">
        <f>IF(N17="","","+"&amp;ROUND(N17-N15,3))</f>
        <v/>
      </c>
      <c r="O16" s="66" t="str">
        <f>IF(O17="","","+"&amp;ROUND(O17-O15,3))</f>
        <v/>
      </c>
      <c r="P16" s="64" t="str">
        <f t="shared" ref="P16:Z16" si="3">IF(P17="","","+"&amp;ROUND(P17-P15,3))</f>
        <v>+0,354</v>
      </c>
      <c r="Q16" s="65" t="str">
        <f t="shared" si="3"/>
        <v/>
      </c>
      <c r="R16" s="67" t="str">
        <f t="shared" si="3"/>
        <v/>
      </c>
      <c r="S16" s="64" t="str">
        <f t="shared" si="3"/>
        <v/>
      </c>
      <c r="T16" s="65" t="str">
        <f t="shared" si="3"/>
        <v/>
      </c>
      <c r="U16" s="65" t="str">
        <f t="shared" si="3"/>
        <v/>
      </c>
      <c r="V16" s="67" t="str">
        <f t="shared" si="3"/>
        <v/>
      </c>
      <c r="W16" s="64" t="str">
        <f t="shared" si="3"/>
        <v/>
      </c>
      <c r="X16" s="65" t="str">
        <f t="shared" si="3"/>
        <v/>
      </c>
      <c r="Y16" s="65" t="str">
        <f t="shared" si="3"/>
        <v/>
      </c>
      <c r="Z16" s="67" t="str">
        <f t="shared" si="3"/>
        <v/>
      </c>
    </row>
    <row r="17" spans="2:26" ht="16.5" thickBot="1">
      <c r="B17" s="253"/>
      <c r="C17" s="60">
        <f>1*'Cadastro de Insumos'!$P$6</f>
        <v>1</v>
      </c>
      <c r="D17" s="60">
        <f>1*'Cadastro de Insumos'!$P$10</f>
        <v>0</v>
      </c>
      <c r="E17" s="60">
        <f>1*'Cadastro de Insumos'!$P$14</f>
        <v>0</v>
      </c>
      <c r="F17" s="57">
        <f>(B16*(1+$B$6)-1)*'Cadastro de Insumos'!$P$20</f>
        <v>2.3239999999999998</v>
      </c>
      <c r="G17" s="57">
        <f>(B16*(1+$B$6)-1)*'Cadastro de Insumos'!$P$24</f>
        <v>0</v>
      </c>
      <c r="H17" s="57">
        <f>(B16*(1+$B$6)-1)*'Cadastro de Insumos'!$P$28</f>
        <v>0</v>
      </c>
      <c r="I17" s="57">
        <f>($B$6-(SUM(F17:H17)))*'Cadastro de Insumos'!$P$34</f>
        <v>2.8056000000000001</v>
      </c>
      <c r="J17" s="57">
        <f>($B$6-(SUM(F17:H17)))*'Cadastro de Insumos'!$P$38</f>
        <v>1.8704000000000001</v>
      </c>
      <c r="K17" s="57">
        <f>($B$6-(SUM(F17:H17)))*'Cadastro de Insumos'!$P$42</f>
        <v>0</v>
      </c>
      <c r="L17" s="57">
        <f>($B$6-(SUM(F17:H17)))*'Cadastro de Insumos'!$P$46</f>
        <v>0</v>
      </c>
      <c r="M17" s="56">
        <f>IF(C17=0,"",('Escopo de Estudo'!$D$30/SUM('Ficha de Dosagem - E'!I17:L17))*C17)</f>
        <v>4.2771599657827197</v>
      </c>
      <c r="N17" s="57" t="str">
        <f>IF(N10="","",('Escopo de Estudo'!$D$30/SUM('Ficha de Dosagem - E'!I17:L17))*D17)</f>
        <v/>
      </c>
      <c r="O17" s="58" t="str">
        <f>IF(O10="","",('Escopo de Estudo'!$D$30/SUM('Ficha de Dosagem - E'!I17:L17))*E17)</f>
        <v/>
      </c>
      <c r="P17" s="56">
        <f t="shared" si="1"/>
        <v>9.9401197604790408</v>
      </c>
      <c r="Q17" s="72" t="str">
        <f>IF($Q$10="","",SUM(M17:O17)*G17)</f>
        <v/>
      </c>
      <c r="R17" s="55" t="str">
        <f>IF($R$10="","",SUM(M17:O17)*H17)</f>
        <v/>
      </c>
      <c r="S17" s="56" t="str">
        <f>IF('Cadastro de Insumos'!$O$52=FALSE,"",IF('Cadastro de Insumos'!$P$52=FALSE,(('Cadastro de Insumos'!$E$54*M17)/'Cadastro de Insumos'!$L$54)*1000,(('Cadastro de Insumos'!$E$54*M17)*1000)))</f>
        <v/>
      </c>
      <c r="T17" s="57" t="str">
        <f>IF('Cadastro de Insumos'!$O$56=FALSE,"",IF('Cadastro de Insumos'!$P$56=FALSE,(('Cadastro de Insumos'!$E$58*M17)/'Cadastro de Insumos'!$L$58)*1000,(('Cadastro de Insumos'!$E$58*M17)*1000)))</f>
        <v/>
      </c>
      <c r="U17" s="57" t="str">
        <f>IF('Cadastro de Insumos'!$O$60=FALSE,"",IF('Cadastro de Insumos'!$P$60=FALSE,(('Cadastro de Insumos'!$E$62*M17)/'Cadastro de Insumos'!$L$62)*1000,(('Cadastro de Insumos'!$E$62*M17)*1000)))</f>
        <v/>
      </c>
      <c r="V17" s="58" t="str">
        <f>IF('Cadastro de Insumos'!$O$64=FALSE,"",IF('Cadastro de Insumos'!$P$64=FALSE,(('Cadastro de Insumos'!$E$66*M17)/'Cadastro de Insumos'!$L$66)*1000,(('Cadastro de Insumos'!$E$66*M17)*1000)))</f>
        <v/>
      </c>
      <c r="W17" s="56" t="str">
        <f>IF('Cadastro de Insumos'!$O$70=FALSE,"",IF('Cadastro de Insumos'!$P$70=FALSE,(('Cadastro de Insumos'!$E$72*M17)/'Cadastro de Insumos'!$L$72)*1000,(('Cadastro de Insumos'!$E$72*M17)*1000)))</f>
        <v/>
      </c>
      <c r="X17" s="57" t="str">
        <f>IF('Cadastro de Insumos'!$O$74=FALSE,"",IF('Cadastro de Insumos'!$P$74=FALSE,(('Cadastro de Insumos'!$E$76*M17)/'Cadastro de Insumos'!$L$76)*1000,(('Cadastro de Insumos'!$E$76*M17)*1000)))</f>
        <v/>
      </c>
      <c r="Y17" s="57" t="str">
        <f>IF('Cadastro de Insumos'!$O$78=FALSE,"",IF('Cadastro de Insumos'!$P$78=FALSE,(('Cadastro de Insumos'!$E$80*M17)/'Cadastro de Insumos'!$L$80)*1000,(('Cadastro de Insumos'!$E$80*M17)*1000)))</f>
        <v/>
      </c>
      <c r="Z17" s="58" t="str">
        <f>IF('Cadastro de Insumos'!$O$82=FALSE,"",IF('Cadastro de Insumos'!$P$82=FALSE,(('Cadastro de Insumos'!$E$84*M17)/'Cadastro de Insumos'!$L$84)*1000,(('Cadastro de Insumos'!$E$84*M17)*1000)))</f>
        <v/>
      </c>
    </row>
    <row r="18" spans="2:26">
      <c r="B18" s="252">
        <f>B16+0.01</f>
        <v>0.55000000000000004</v>
      </c>
      <c r="C18" s="50"/>
      <c r="D18" s="50"/>
      <c r="E18" s="50"/>
      <c r="F18" s="63"/>
      <c r="G18" s="63"/>
      <c r="H18" s="63"/>
      <c r="I18" s="63"/>
      <c r="J18" s="63"/>
      <c r="K18" s="63"/>
      <c r="L18" s="63"/>
      <c r="M18" s="64" t="str">
        <f>IF(M19="","","+"&amp;ROUND(M19-M17,3))</f>
        <v>+0,052</v>
      </c>
      <c r="N18" s="65" t="str">
        <f>IF(N19="","","+"&amp;ROUND(N19-N17,3))</f>
        <v/>
      </c>
      <c r="O18" s="66" t="str">
        <f>IF(O19="","","+"&amp;ROUND(O19-O17,3))</f>
        <v/>
      </c>
      <c r="P18" s="64" t="str">
        <f t="shared" ref="P18:Z18" si="4">IF(P19="","","+"&amp;ROUND(P19-P17,3))</f>
        <v>+0,363</v>
      </c>
      <c r="Q18" s="65" t="str">
        <f t="shared" si="4"/>
        <v/>
      </c>
      <c r="R18" s="67" t="str">
        <f t="shared" si="4"/>
        <v/>
      </c>
      <c r="S18" s="64" t="str">
        <f t="shared" si="4"/>
        <v/>
      </c>
      <c r="T18" s="65" t="str">
        <f t="shared" si="4"/>
        <v/>
      </c>
      <c r="U18" s="65" t="str">
        <f t="shared" si="4"/>
        <v/>
      </c>
      <c r="V18" s="67" t="str">
        <f t="shared" si="4"/>
        <v/>
      </c>
      <c r="W18" s="64" t="str">
        <f t="shared" si="4"/>
        <v/>
      </c>
      <c r="X18" s="65" t="str">
        <f t="shared" si="4"/>
        <v/>
      </c>
      <c r="Y18" s="65" t="str">
        <f t="shared" si="4"/>
        <v/>
      </c>
      <c r="Z18" s="67" t="str">
        <f t="shared" si="4"/>
        <v/>
      </c>
    </row>
    <row r="19" spans="2:26" ht="16.5" thickBot="1">
      <c r="B19" s="253"/>
      <c r="C19" s="60">
        <f>1*'Cadastro de Insumos'!$P$6</f>
        <v>1</v>
      </c>
      <c r="D19" s="60">
        <f>1*'Cadastro de Insumos'!$P$10</f>
        <v>0</v>
      </c>
      <c r="E19" s="60">
        <f>1*'Cadastro de Insumos'!$P$14</f>
        <v>0</v>
      </c>
      <c r="F19" s="57">
        <f>(B18*(1+$B$6)-1)*'Cadastro de Insumos'!$P$20</f>
        <v>2.38</v>
      </c>
      <c r="G19" s="57">
        <f>(B18*(1+$B$6)-1)*'Cadastro de Insumos'!$P$24</f>
        <v>0</v>
      </c>
      <c r="H19" s="57">
        <f>(B18*(1+$B$6)-1)*'Cadastro de Insumos'!$P$28</f>
        <v>0</v>
      </c>
      <c r="I19" s="57">
        <f>($B$6-(SUM(F19:H19)))*'Cadastro de Insumos'!$P$34</f>
        <v>2.7719999999999998</v>
      </c>
      <c r="J19" s="57">
        <f>($B$6-(SUM(F19:H19)))*'Cadastro de Insumos'!$P$38</f>
        <v>1.8480000000000001</v>
      </c>
      <c r="K19" s="57">
        <f>($B$6-(SUM(F19:H19)))*'Cadastro de Insumos'!$P$42</f>
        <v>0</v>
      </c>
      <c r="L19" s="57">
        <f>($B$6-(SUM(F19:H19)))*'Cadastro de Insumos'!$P$46</f>
        <v>0</v>
      </c>
      <c r="M19" s="56">
        <f>IF(C19=0,"",('Escopo de Estudo'!$D$30/SUM('Ficha de Dosagem - E'!I19:L19))*C19)</f>
        <v>4.329004329004329</v>
      </c>
      <c r="N19" s="57" t="str">
        <f>IF(N10="","",('Escopo de Estudo'!$D$30/SUM('Ficha de Dosagem - E'!I19:L19))*D19)</f>
        <v/>
      </c>
      <c r="O19" s="58" t="str">
        <f>IF(O10="","",('Escopo de Estudo'!$D$30/SUM('Ficha de Dosagem - E'!I19:L19))*E19)</f>
        <v/>
      </c>
      <c r="P19" s="56">
        <f t="shared" si="1"/>
        <v>10.303030303030303</v>
      </c>
      <c r="Q19" s="72" t="str">
        <f>IF($Q$10="","",SUM(M19:O19)*G19)</f>
        <v/>
      </c>
      <c r="R19" s="55" t="str">
        <f>IF($R$10="","",SUM(M19:O19)*H19)</f>
        <v/>
      </c>
      <c r="S19" s="56" t="str">
        <f>IF('Cadastro de Insumos'!$O$52=FALSE,"",IF('Cadastro de Insumos'!$P$52=FALSE,(('Cadastro de Insumos'!$E$54*M19)/'Cadastro de Insumos'!$L$54)*1000,(('Cadastro de Insumos'!$E$54*M19)*1000)))</f>
        <v/>
      </c>
      <c r="T19" s="57" t="str">
        <f>IF('Cadastro de Insumos'!$O$56=FALSE,"",IF('Cadastro de Insumos'!$P$56=FALSE,(('Cadastro de Insumos'!$E$58*M19)/'Cadastro de Insumos'!$L$58)*1000,(('Cadastro de Insumos'!$E$58*M19)*1000)))</f>
        <v/>
      </c>
      <c r="U19" s="57" t="str">
        <f>IF('Cadastro de Insumos'!$O$60=FALSE,"",IF('Cadastro de Insumos'!$P$60=FALSE,(('Cadastro de Insumos'!$E$62*M19)/'Cadastro de Insumos'!$L$62)*1000,(('Cadastro de Insumos'!$E$62*M19)*1000)))</f>
        <v/>
      </c>
      <c r="V19" s="58" t="str">
        <f>IF('Cadastro de Insumos'!$O$64=FALSE,"",IF('Cadastro de Insumos'!$P$64=FALSE,(('Cadastro de Insumos'!$E$66*M19)/'Cadastro de Insumos'!$L$66)*1000,(('Cadastro de Insumos'!$E$66*M19)*1000)))</f>
        <v/>
      </c>
      <c r="W19" s="56" t="str">
        <f>IF('Cadastro de Insumos'!$O$70=FALSE,"",IF('Cadastro de Insumos'!$P$70=FALSE,(('Cadastro de Insumos'!$E$72*M19)/'Cadastro de Insumos'!$L$72)*1000,(('Cadastro de Insumos'!$E$72*M19)*1000)))</f>
        <v/>
      </c>
      <c r="X19" s="57" t="str">
        <f>IF('Cadastro de Insumos'!$O$74=FALSE,"",IF('Cadastro de Insumos'!$P$74=FALSE,(('Cadastro de Insumos'!$E$76*M19)/'Cadastro de Insumos'!$L$76)*1000,(('Cadastro de Insumos'!$E$76*M19)*1000)))</f>
        <v/>
      </c>
      <c r="Y19" s="57" t="str">
        <f>IF('Cadastro de Insumos'!$O$78=FALSE,"",IF('Cadastro de Insumos'!$P$78=FALSE,(('Cadastro de Insumos'!$E$80*M19)/'Cadastro de Insumos'!$L$80)*1000,(('Cadastro de Insumos'!$E$80*M19)*1000)))</f>
        <v/>
      </c>
      <c r="Z19" s="58" t="str">
        <f>IF('Cadastro de Insumos'!$O$82=FALSE,"",IF('Cadastro de Insumos'!$P$82=FALSE,(('Cadastro de Insumos'!$E$84*M19)/'Cadastro de Insumos'!$L$84)*1000,(('Cadastro de Insumos'!$E$84*M19)*1000)))</f>
        <v/>
      </c>
    </row>
    <row r="20" spans="2:26">
      <c r="B20" s="252">
        <f>B18+0.01</f>
        <v>0.56000000000000005</v>
      </c>
      <c r="C20" s="50"/>
      <c r="D20" s="50"/>
      <c r="E20" s="50"/>
      <c r="F20" s="63"/>
      <c r="G20" s="63"/>
      <c r="H20" s="63"/>
      <c r="I20" s="63"/>
      <c r="J20" s="63"/>
      <c r="K20" s="63"/>
      <c r="L20" s="63"/>
      <c r="M20" s="64" t="str">
        <f>IF(M21="","","+"&amp;ROUND(M21-M19,3))</f>
        <v>+0,053</v>
      </c>
      <c r="N20" s="65" t="str">
        <f>IF(N21="","","+"&amp;ROUND(N21-N19,3))</f>
        <v/>
      </c>
      <c r="O20" s="66" t="str">
        <f>IF(O21="","","+"&amp;ROUND(O21-O19,3))</f>
        <v/>
      </c>
      <c r="P20" s="64" t="str">
        <f t="shared" ref="P20:Z20" si="5">IF(P21="","","+"&amp;ROUND(P21-P19,3))</f>
        <v>+0,372</v>
      </c>
      <c r="Q20" s="65" t="str">
        <f t="shared" si="5"/>
        <v/>
      </c>
      <c r="R20" s="67" t="str">
        <f t="shared" si="5"/>
        <v/>
      </c>
      <c r="S20" s="64" t="str">
        <f t="shared" si="5"/>
        <v/>
      </c>
      <c r="T20" s="65" t="str">
        <f t="shared" si="5"/>
        <v/>
      </c>
      <c r="U20" s="65" t="str">
        <f t="shared" si="5"/>
        <v/>
      </c>
      <c r="V20" s="67" t="str">
        <f t="shared" si="5"/>
        <v/>
      </c>
      <c r="W20" s="64" t="str">
        <f t="shared" si="5"/>
        <v/>
      </c>
      <c r="X20" s="65" t="str">
        <f t="shared" si="5"/>
        <v/>
      </c>
      <c r="Y20" s="65" t="str">
        <f t="shared" si="5"/>
        <v/>
      </c>
      <c r="Z20" s="67" t="str">
        <f t="shared" si="5"/>
        <v/>
      </c>
    </row>
    <row r="21" spans="2:26" ht="16.5" thickBot="1">
      <c r="B21" s="253"/>
      <c r="C21" s="60">
        <f>1*'Cadastro de Insumos'!$P$6</f>
        <v>1</v>
      </c>
      <c r="D21" s="60">
        <f>1*'Cadastro de Insumos'!$P$10</f>
        <v>0</v>
      </c>
      <c r="E21" s="60">
        <f>1*'Cadastro de Insumos'!$P$14</f>
        <v>0</v>
      </c>
      <c r="F21" s="57">
        <f>(B20*(1+$B$6)-1)*'Cadastro de Insumos'!$P$20</f>
        <v>2.4359999999999999</v>
      </c>
      <c r="G21" s="57">
        <f>(B20*(1+$B$6)-1)*'Cadastro de Insumos'!$P$24</f>
        <v>0</v>
      </c>
      <c r="H21" s="57">
        <f>(B20*(1+$B$6)-1)*'Cadastro de Insumos'!$P$28</f>
        <v>0</v>
      </c>
      <c r="I21" s="57">
        <f>($B$6-(SUM(F21:H21)))*'Cadastro de Insumos'!$P$34</f>
        <v>2.7383999999999999</v>
      </c>
      <c r="J21" s="57">
        <f>($B$6-(SUM(F21:H21)))*'Cadastro de Insumos'!$P$38</f>
        <v>1.8256000000000001</v>
      </c>
      <c r="K21" s="57">
        <f>($B$6-(SUM(F21:H21)))*'Cadastro de Insumos'!$P$42</f>
        <v>0</v>
      </c>
      <c r="L21" s="57">
        <f>($B$6-(SUM(F21:H21)))*'Cadastro de Insumos'!$P$46</f>
        <v>0</v>
      </c>
      <c r="M21" s="56">
        <f>IF(C21=0,"",('Escopo de Estudo'!$D$30/SUM('Ficha de Dosagem - E'!I21:L21))*C21)</f>
        <v>4.3821209465381248</v>
      </c>
      <c r="N21" s="57" t="str">
        <f>IF(N10="","",('Escopo de Estudo'!$D$30/SUM('Ficha de Dosagem - E'!I21:L21))*D21)</f>
        <v/>
      </c>
      <c r="O21" s="58" t="str">
        <f>IF(O10="","",('Escopo de Estudo'!$D$30/SUM('Ficha de Dosagem - E'!I21:L21))*E21)</f>
        <v/>
      </c>
      <c r="P21" s="56">
        <f t="shared" si="1"/>
        <v>10.674846625766872</v>
      </c>
      <c r="Q21" s="72" t="str">
        <f>IF($Q$10="","",SUM(M21:O21)*G21)</f>
        <v/>
      </c>
      <c r="R21" s="55" t="str">
        <f>IF($R$10="","",SUM(M21:O21)*H21)</f>
        <v/>
      </c>
      <c r="S21" s="56" t="str">
        <f>IF('Cadastro de Insumos'!$O$52=FALSE,"",IF('Cadastro de Insumos'!$P$52=FALSE,(('Cadastro de Insumos'!$E$54*M21)/'Cadastro de Insumos'!$L$54)*1000,(('Cadastro de Insumos'!$E$54*M21)*1000)))</f>
        <v/>
      </c>
      <c r="T21" s="57" t="str">
        <f>IF('Cadastro de Insumos'!$O$56=FALSE,"",IF('Cadastro de Insumos'!$P$56=FALSE,(('Cadastro de Insumos'!$E$58*M21)/'Cadastro de Insumos'!$L$58)*1000,(('Cadastro de Insumos'!$E$58*M21)*1000)))</f>
        <v/>
      </c>
      <c r="U21" s="57" t="str">
        <f>IF('Cadastro de Insumos'!$O$60=FALSE,"",IF('Cadastro de Insumos'!$P$60=FALSE,(('Cadastro de Insumos'!$E$62*M21)/'Cadastro de Insumos'!$L$62)*1000,(('Cadastro de Insumos'!$E$62*M21)*1000)))</f>
        <v/>
      </c>
      <c r="V21" s="58" t="str">
        <f>IF('Cadastro de Insumos'!$O$64=FALSE,"",IF('Cadastro de Insumos'!$P$64=FALSE,(('Cadastro de Insumos'!$E$66*M21)/'Cadastro de Insumos'!$L$66)*1000,(('Cadastro de Insumos'!$E$66*M21)*1000)))</f>
        <v/>
      </c>
      <c r="W21" s="56" t="str">
        <f>IF('Cadastro de Insumos'!$O$70=FALSE,"",IF('Cadastro de Insumos'!$P$70=FALSE,(('Cadastro de Insumos'!$E$72*M21)/'Cadastro de Insumos'!$L$72)*1000,(('Cadastro de Insumos'!$E$72*M21)*1000)))</f>
        <v/>
      </c>
      <c r="X21" s="57" t="str">
        <f>IF('Cadastro de Insumos'!$O$74=FALSE,"",IF('Cadastro de Insumos'!$P$74=FALSE,(('Cadastro de Insumos'!$E$76*M21)/'Cadastro de Insumos'!$L$76)*1000,(('Cadastro de Insumos'!$E$76*M21)*1000)))</f>
        <v/>
      </c>
      <c r="Y21" s="57" t="str">
        <f>IF('Cadastro de Insumos'!$O$78=FALSE,"",IF('Cadastro de Insumos'!$P$78=FALSE,(('Cadastro de Insumos'!$E$80*M21)/'Cadastro de Insumos'!$L$80)*1000,(('Cadastro de Insumos'!$E$80*M21)*1000)))</f>
        <v/>
      </c>
      <c r="Z21" s="58" t="str">
        <f>IF('Cadastro de Insumos'!$O$82=FALSE,"",IF('Cadastro de Insumos'!$P$82=FALSE,(('Cadastro de Insumos'!$E$84*M21)/'Cadastro de Insumos'!$L$84)*1000,(('Cadastro de Insumos'!$E$84*M21)*1000)))</f>
        <v/>
      </c>
    </row>
    <row r="22" spans="2:26">
      <c r="B22" s="252">
        <f>B20+0.01</f>
        <v>0.57000000000000006</v>
      </c>
      <c r="C22" s="50"/>
      <c r="D22" s="50"/>
      <c r="E22" s="50"/>
      <c r="F22" s="63"/>
      <c r="G22" s="63"/>
      <c r="H22" s="63"/>
      <c r="I22" s="63"/>
      <c r="J22" s="63"/>
      <c r="K22" s="63"/>
      <c r="L22" s="63"/>
      <c r="M22" s="64" t="str">
        <f>IF(M23="","","+"&amp;ROUND(M23-M21,3))</f>
        <v>+0,054</v>
      </c>
      <c r="N22" s="65" t="str">
        <f>IF(N23="","","+"&amp;ROUND(N23-N21,3))</f>
        <v/>
      </c>
      <c r="O22" s="66" t="str">
        <f>IF(O23="","","+"&amp;ROUND(O23-O21,3))</f>
        <v/>
      </c>
      <c r="P22" s="64" t="str">
        <f t="shared" ref="P22:Z22" si="6">IF(P23="","","+"&amp;ROUND(P23-P21,3))</f>
        <v>+0,381</v>
      </c>
      <c r="Q22" s="65" t="str">
        <f t="shared" si="6"/>
        <v/>
      </c>
      <c r="R22" s="67" t="str">
        <f t="shared" si="6"/>
        <v/>
      </c>
      <c r="S22" s="64" t="str">
        <f t="shared" si="6"/>
        <v/>
      </c>
      <c r="T22" s="65" t="str">
        <f t="shared" si="6"/>
        <v/>
      </c>
      <c r="U22" s="65" t="str">
        <f t="shared" si="6"/>
        <v/>
      </c>
      <c r="V22" s="67" t="str">
        <f t="shared" si="6"/>
        <v/>
      </c>
      <c r="W22" s="64" t="str">
        <f t="shared" si="6"/>
        <v/>
      </c>
      <c r="X22" s="65" t="str">
        <f t="shared" si="6"/>
        <v/>
      </c>
      <c r="Y22" s="65" t="str">
        <f t="shared" si="6"/>
        <v/>
      </c>
      <c r="Z22" s="67" t="str">
        <f t="shared" si="6"/>
        <v/>
      </c>
    </row>
    <row r="23" spans="2:26" ht="16.5" thickBot="1">
      <c r="B23" s="253"/>
      <c r="C23" s="60">
        <f>1*'Cadastro de Insumos'!$P$6</f>
        <v>1</v>
      </c>
      <c r="D23" s="60">
        <f>1*'Cadastro de Insumos'!$P$10</f>
        <v>0</v>
      </c>
      <c r="E23" s="60">
        <f>1*'Cadastro de Insumos'!$P$14</f>
        <v>0</v>
      </c>
      <c r="F23" s="57">
        <f>(B22*(1+$B$6)-1)*'Cadastro de Insumos'!$P$20</f>
        <v>2.492</v>
      </c>
      <c r="G23" s="57">
        <f>(B22*(1+$B$6)-1)*'Cadastro de Insumos'!$P$24</f>
        <v>0</v>
      </c>
      <c r="H23" s="57">
        <f>(B22*(1+$B$6)-1)*'Cadastro de Insumos'!$P$28</f>
        <v>0</v>
      </c>
      <c r="I23" s="57">
        <f>($B$6-(SUM(F23:H23)))*'Cadastro de Insumos'!$P$34</f>
        <v>2.7048000000000001</v>
      </c>
      <c r="J23" s="57">
        <f>($B$6-(SUM(F23:H23)))*'Cadastro de Insumos'!$P$38</f>
        <v>1.8032000000000001</v>
      </c>
      <c r="K23" s="57">
        <f>($B$6-(SUM(F23:H23)))*'Cadastro de Insumos'!$P$42</f>
        <v>0</v>
      </c>
      <c r="L23" s="57">
        <f>($B$6-(SUM(F23:H23)))*'Cadastro de Insumos'!$P$46</f>
        <v>0</v>
      </c>
      <c r="M23" s="56">
        <f>IF(C23=0,"",('Escopo de Estudo'!$D$30/SUM('Ficha de Dosagem - E'!I23:L23))*C23)</f>
        <v>4.4365572315882877</v>
      </c>
      <c r="N23" s="57" t="str">
        <f>IF(N10="","",('Escopo de Estudo'!$D$30/SUM('Ficha de Dosagem - E'!I23:L23))*D23)</f>
        <v/>
      </c>
      <c r="O23" s="58" t="str">
        <f>IF(O10="","",('Escopo de Estudo'!$D$30/SUM('Ficha de Dosagem - E'!I23:L23))*E23)</f>
        <v/>
      </c>
      <c r="P23" s="56">
        <f t="shared" si="1"/>
        <v>11.055900621118013</v>
      </c>
      <c r="Q23" s="72" t="str">
        <f>IF($Q$10="","",SUM(M23:O23)*G23)</f>
        <v/>
      </c>
      <c r="R23" s="55" t="str">
        <f>IF($R$10="","",SUM(M23:O23)*H23)</f>
        <v/>
      </c>
      <c r="S23" s="56" t="str">
        <f>IF('Cadastro de Insumos'!$O$52=FALSE,"",IF('Cadastro de Insumos'!$P$52=FALSE,(('Cadastro de Insumos'!$E$54*M23)/'Cadastro de Insumos'!$L$54)*1000,(('Cadastro de Insumos'!$E$54*M23)*1000)))</f>
        <v/>
      </c>
      <c r="T23" s="57" t="str">
        <f>IF('Cadastro de Insumos'!$O$56=FALSE,"",IF('Cadastro de Insumos'!$P$56=FALSE,(('Cadastro de Insumos'!$E$58*M23)/'Cadastro de Insumos'!$L$58)*1000,(('Cadastro de Insumos'!$E$58*M23)*1000)))</f>
        <v/>
      </c>
      <c r="U23" s="57" t="str">
        <f>IF('Cadastro de Insumos'!$O$60=FALSE,"",IF('Cadastro de Insumos'!$P$60=FALSE,(('Cadastro de Insumos'!$E$62*M23)/'Cadastro de Insumos'!$L$62)*1000,(('Cadastro de Insumos'!$E$62*M23)*1000)))</f>
        <v/>
      </c>
      <c r="V23" s="58" t="str">
        <f>IF('Cadastro de Insumos'!$O$64=FALSE,"",IF('Cadastro de Insumos'!$P$64=FALSE,(('Cadastro de Insumos'!$E$66*M23)/'Cadastro de Insumos'!$L$66)*1000,(('Cadastro de Insumos'!$E$66*M23)*1000)))</f>
        <v/>
      </c>
      <c r="W23" s="56" t="str">
        <f>IF('Cadastro de Insumos'!$O$70=FALSE,"",IF('Cadastro de Insumos'!$P$70=FALSE,(('Cadastro de Insumos'!$E$72*M23)/'Cadastro de Insumos'!$L$72)*1000,(('Cadastro de Insumos'!$E$72*M23)*1000)))</f>
        <v/>
      </c>
      <c r="X23" s="57" t="str">
        <f>IF('Cadastro de Insumos'!$O$74=FALSE,"",IF('Cadastro de Insumos'!$P$74=FALSE,(('Cadastro de Insumos'!$E$76*M23)/'Cadastro de Insumos'!$L$76)*1000,(('Cadastro de Insumos'!$E$76*M23)*1000)))</f>
        <v/>
      </c>
      <c r="Y23" s="57" t="str">
        <f>IF('Cadastro de Insumos'!$O$78=FALSE,"",IF('Cadastro de Insumos'!$P$78=FALSE,(('Cadastro de Insumos'!$E$80*M23)/'Cadastro de Insumos'!$L$80)*1000,(('Cadastro de Insumos'!$E$80*M23)*1000)))</f>
        <v/>
      </c>
      <c r="Z23" s="58" t="str">
        <f>IF('Cadastro de Insumos'!$O$82=FALSE,"",IF('Cadastro de Insumos'!$P$82=FALSE,(('Cadastro de Insumos'!$E$84*M23)/'Cadastro de Insumos'!$L$84)*1000,(('Cadastro de Insumos'!$E$84*M23)*1000)))</f>
        <v/>
      </c>
    </row>
    <row r="24" spans="2:26">
      <c r="B24" s="252">
        <f>B22+0.01</f>
        <v>0.58000000000000007</v>
      </c>
      <c r="C24" s="50"/>
      <c r="D24" s="50"/>
      <c r="E24" s="50"/>
      <c r="F24" s="63"/>
      <c r="G24" s="63"/>
      <c r="H24" s="63"/>
      <c r="I24" s="63"/>
      <c r="J24" s="63"/>
      <c r="K24" s="63"/>
      <c r="L24" s="63"/>
      <c r="M24" s="64" t="str">
        <f>IF(M25="","","+"&amp;ROUND(M25-M23,3))</f>
        <v>+0,056</v>
      </c>
      <c r="N24" s="65" t="str">
        <f>IF(N25="","","+"&amp;ROUND(N25-N23,3))</f>
        <v/>
      </c>
      <c r="O24" s="66" t="str">
        <f>IF(O25="","","+"&amp;ROUND(O25-O23,3))</f>
        <v/>
      </c>
      <c r="P24" s="64" t="str">
        <f t="shared" ref="P24:Z24" si="7">IF(P25="","","+"&amp;ROUND(P25-P23,3))</f>
        <v>+0,391</v>
      </c>
      <c r="Q24" s="65" t="str">
        <f t="shared" si="7"/>
        <v/>
      </c>
      <c r="R24" s="67" t="str">
        <f t="shared" si="7"/>
        <v/>
      </c>
      <c r="S24" s="64" t="str">
        <f t="shared" si="7"/>
        <v/>
      </c>
      <c r="T24" s="65" t="str">
        <f t="shared" si="7"/>
        <v/>
      </c>
      <c r="U24" s="65" t="str">
        <f t="shared" si="7"/>
        <v/>
      </c>
      <c r="V24" s="67" t="str">
        <f t="shared" si="7"/>
        <v/>
      </c>
      <c r="W24" s="64" t="str">
        <f t="shared" si="7"/>
        <v/>
      </c>
      <c r="X24" s="65" t="str">
        <f t="shared" si="7"/>
        <v/>
      </c>
      <c r="Y24" s="65" t="str">
        <f t="shared" si="7"/>
        <v/>
      </c>
      <c r="Z24" s="67" t="str">
        <f t="shared" si="7"/>
        <v/>
      </c>
    </row>
    <row r="25" spans="2:26" ht="16.5" thickBot="1">
      <c r="B25" s="253"/>
      <c r="C25" s="60">
        <f>1*'Cadastro de Insumos'!$P$6</f>
        <v>1</v>
      </c>
      <c r="D25" s="60">
        <f>1*'Cadastro de Insumos'!$P$10</f>
        <v>0</v>
      </c>
      <c r="E25" s="60">
        <f>1*'Cadastro de Insumos'!$P$14</f>
        <v>0</v>
      </c>
      <c r="F25" s="57">
        <f>(B24*(1+$B$6)-1)*'Cadastro de Insumos'!$P$20</f>
        <v>2.548</v>
      </c>
      <c r="G25" s="57">
        <f>(B24*(1+$B$6)-1)*'Cadastro de Insumos'!$P$24</f>
        <v>0</v>
      </c>
      <c r="H25" s="57">
        <f>(B24*(1+$B$6)-1)*'Cadastro de Insumos'!$P$28</f>
        <v>0</v>
      </c>
      <c r="I25" s="57">
        <f>($B$6-(SUM(F25:H25)))*'Cadastro de Insumos'!$P$34</f>
        <v>2.6711999999999998</v>
      </c>
      <c r="J25" s="57">
        <f>($B$6-(SUM(F25:H25)))*'Cadastro de Insumos'!$P$38</f>
        <v>1.7808000000000002</v>
      </c>
      <c r="K25" s="57">
        <f>($B$6-(SUM(F25:H25)))*'Cadastro de Insumos'!$P$42</f>
        <v>0</v>
      </c>
      <c r="L25" s="57">
        <f>($B$6-(SUM(F25:H25)))*'Cadastro de Insumos'!$P$46</f>
        <v>0</v>
      </c>
      <c r="M25" s="56">
        <f>IF(C25=0,"",('Escopo de Estudo'!$D$30/SUM('Ficha de Dosagem - E'!I25:L25))*C25)</f>
        <v>4.4923629829290208</v>
      </c>
      <c r="N25" s="57" t="str">
        <f>IF(N10="","",('Escopo de Estudo'!$D$30/SUM('Ficha de Dosagem - E'!I25:L25))*D25)</f>
        <v/>
      </c>
      <c r="O25" s="58" t="str">
        <f>IF(O10="","",('Escopo de Estudo'!$D$30/SUM('Ficha de Dosagem - E'!I25:L25))*E25)</f>
        <v/>
      </c>
      <c r="P25" s="56">
        <f t="shared" si="1"/>
        <v>11.446540880503145</v>
      </c>
      <c r="Q25" s="72" t="str">
        <f>IF($Q$10="","",SUM(M25:O25)*G25)</f>
        <v/>
      </c>
      <c r="R25" s="55" t="str">
        <f>IF($R$10="","",SUM(M25:O25)*H25)</f>
        <v/>
      </c>
      <c r="S25" s="56" t="str">
        <f>IF('Cadastro de Insumos'!$O$52=FALSE,"",IF('Cadastro de Insumos'!$P$52=FALSE,(('Cadastro de Insumos'!$E$54*M25)/'Cadastro de Insumos'!$L$54)*1000,(('Cadastro de Insumos'!$E$54*M25)*1000)))</f>
        <v/>
      </c>
      <c r="T25" s="57" t="str">
        <f>IF('Cadastro de Insumos'!$O$56=FALSE,"",IF('Cadastro de Insumos'!$P$56=FALSE,(('Cadastro de Insumos'!$E$58*M25)/'Cadastro de Insumos'!$L$58)*1000,(('Cadastro de Insumos'!$E$58*M25)*1000)))</f>
        <v/>
      </c>
      <c r="U25" s="57" t="str">
        <f>IF('Cadastro de Insumos'!$O$60=FALSE,"",IF('Cadastro de Insumos'!$P$60=FALSE,(('Cadastro de Insumos'!$E$62*M25)/'Cadastro de Insumos'!$L$62)*1000,(('Cadastro de Insumos'!$E$62*M25)*1000)))</f>
        <v/>
      </c>
      <c r="V25" s="58" t="str">
        <f>IF('Cadastro de Insumos'!$O$64=FALSE,"",IF('Cadastro de Insumos'!$P$64=FALSE,(('Cadastro de Insumos'!$E$66*M25)/'Cadastro de Insumos'!$L$66)*1000,(('Cadastro de Insumos'!$E$66*M25)*1000)))</f>
        <v/>
      </c>
      <c r="W25" s="56" t="str">
        <f>IF('Cadastro de Insumos'!$O$70=FALSE,"",IF('Cadastro de Insumos'!$P$70=FALSE,(('Cadastro de Insumos'!$E$72*M25)/'Cadastro de Insumos'!$L$72)*1000,(('Cadastro de Insumos'!$E$72*M25)*1000)))</f>
        <v/>
      </c>
      <c r="X25" s="57" t="str">
        <f>IF('Cadastro de Insumos'!$O$74=FALSE,"",IF('Cadastro de Insumos'!$P$74=FALSE,(('Cadastro de Insumos'!$E$76*M25)/'Cadastro de Insumos'!$L$76)*1000,(('Cadastro de Insumos'!$E$76*M25)*1000)))</f>
        <v/>
      </c>
      <c r="Y25" s="57" t="str">
        <f>IF('Cadastro de Insumos'!$O$78=FALSE,"",IF('Cadastro de Insumos'!$P$78=FALSE,(('Cadastro de Insumos'!$E$80*M25)/'Cadastro de Insumos'!$L$80)*1000,(('Cadastro de Insumos'!$E$80*M25)*1000)))</f>
        <v/>
      </c>
      <c r="Z25" s="58" t="str">
        <f>IF('Cadastro de Insumos'!$O$82=FALSE,"",IF('Cadastro de Insumos'!$P$82=FALSE,(('Cadastro de Insumos'!$E$84*M25)/'Cadastro de Insumos'!$L$84)*1000,(('Cadastro de Insumos'!$E$84*M25)*1000)))</f>
        <v/>
      </c>
    </row>
    <row r="26" spans="2:26">
      <c r="B26" s="252">
        <f>B24+0.01</f>
        <v>0.59000000000000008</v>
      </c>
      <c r="C26" s="50"/>
      <c r="D26" s="50"/>
      <c r="E26" s="50"/>
      <c r="F26" s="63"/>
      <c r="G26" s="63"/>
      <c r="H26" s="63"/>
      <c r="I26" s="63"/>
      <c r="J26" s="63"/>
      <c r="K26" s="63"/>
      <c r="L26" s="63"/>
      <c r="M26" s="64" t="str">
        <f>IF(M27="","","+"&amp;ROUND(M27-M25,3))</f>
        <v>+0,057</v>
      </c>
      <c r="N26" s="65" t="str">
        <f>IF(N27="","","+"&amp;ROUND(N27-N25,3))</f>
        <v/>
      </c>
      <c r="O26" s="66" t="str">
        <f>IF(O27="","","+"&amp;ROUND(O27-O25,3))</f>
        <v/>
      </c>
      <c r="P26" s="64" t="str">
        <f t="shared" ref="P26:Z26" si="8">IF(P27="","","+"&amp;ROUND(P27-P25,3))</f>
        <v>+0,401</v>
      </c>
      <c r="Q26" s="65" t="str">
        <f t="shared" si="8"/>
        <v/>
      </c>
      <c r="R26" s="67" t="str">
        <f t="shared" si="8"/>
        <v/>
      </c>
      <c r="S26" s="64" t="str">
        <f t="shared" si="8"/>
        <v/>
      </c>
      <c r="T26" s="65" t="str">
        <f t="shared" si="8"/>
        <v/>
      </c>
      <c r="U26" s="65" t="str">
        <f t="shared" si="8"/>
        <v/>
      </c>
      <c r="V26" s="67" t="str">
        <f t="shared" si="8"/>
        <v/>
      </c>
      <c r="W26" s="64" t="str">
        <f t="shared" si="8"/>
        <v/>
      </c>
      <c r="X26" s="65" t="str">
        <f t="shared" si="8"/>
        <v/>
      </c>
      <c r="Y26" s="65" t="str">
        <f t="shared" si="8"/>
        <v/>
      </c>
      <c r="Z26" s="67" t="str">
        <f t="shared" si="8"/>
        <v/>
      </c>
    </row>
    <row r="27" spans="2:26" ht="16.5" thickBot="1">
      <c r="B27" s="253"/>
      <c r="C27" s="60">
        <f>1*'Cadastro de Insumos'!$P$6</f>
        <v>1</v>
      </c>
      <c r="D27" s="60">
        <f>1*'Cadastro de Insumos'!$P$10</f>
        <v>0</v>
      </c>
      <c r="E27" s="60">
        <f>1*'Cadastro de Insumos'!$P$14</f>
        <v>0</v>
      </c>
      <c r="F27" s="57">
        <f>(B26*(1+$B$6)-1)*'Cadastro de Insumos'!$P$20</f>
        <v>2.6040000000000001</v>
      </c>
      <c r="G27" s="57">
        <f>(B26*(1+$B$6)-1)*'Cadastro de Insumos'!$P$24</f>
        <v>0</v>
      </c>
      <c r="H27" s="57">
        <f>(B26*(1+$B$6)-1)*'Cadastro de Insumos'!$P$28</f>
        <v>0</v>
      </c>
      <c r="I27" s="57">
        <f>($B$6-(SUM(F27:H27)))*'Cadastro de Insumos'!$P$34</f>
        <v>2.6375999999999999</v>
      </c>
      <c r="J27" s="57">
        <f>($B$6-(SUM(F27:H27)))*'Cadastro de Insumos'!$P$38</f>
        <v>1.7584</v>
      </c>
      <c r="K27" s="57">
        <f>($B$6-(SUM(F27:H27)))*'Cadastro de Insumos'!$P$42</f>
        <v>0</v>
      </c>
      <c r="L27" s="57">
        <f>($B$6-(SUM(F27:H27)))*'Cadastro de Insumos'!$P$46</f>
        <v>0</v>
      </c>
      <c r="M27" s="56">
        <f>IF(C27=0,"",('Escopo de Estudo'!$D$30/SUM('Ficha de Dosagem - E'!I27:L27))*C27)</f>
        <v>4.5495905368516834</v>
      </c>
      <c r="N27" s="57" t="str">
        <f>IF(N10="","",('Escopo de Estudo'!$D$30/SUM('Ficha de Dosagem - E'!I27:L27))*D27)</f>
        <v/>
      </c>
      <c r="O27" s="58" t="str">
        <f>IF(O10="","",('Escopo de Estudo'!$D$30/SUM('Ficha de Dosagem - E'!I27:L27))*E27)</f>
        <v/>
      </c>
      <c r="P27" s="56">
        <f t="shared" si="1"/>
        <v>11.847133757961783</v>
      </c>
      <c r="Q27" s="72" t="str">
        <f>IF($Q$10="","",SUM(M27:O27)*G27)</f>
        <v/>
      </c>
      <c r="R27" s="55" t="str">
        <f>IF($R$10="","",SUM(M27:O27)*H27)</f>
        <v/>
      </c>
      <c r="S27" s="56" t="str">
        <f>IF('Cadastro de Insumos'!$O$52=FALSE,"",IF('Cadastro de Insumos'!$P$52=FALSE,(('Cadastro de Insumos'!$E$54*M27)/'Cadastro de Insumos'!$L$54)*1000,(('Cadastro de Insumos'!$E$54*M27)*1000)))</f>
        <v/>
      </c>
      <c r="T27" s="57" t="str">
        <f>IF('Cadastro de Insumos'!$O$56=FALSE,"",IF('Cadastro de Insumos'!$P$56=FALSE,(('Cadastro de Insumos'!$E$58*M27)/'Cadastro de Insumos'!$L$58)*1000,(('Cadastro de Insumos'!$E$58*M27)*1000)))</f>
        <v/>
      </c>
      <c r="U27" s="57" t="str">
        <f>IF('Cadastro de Insumos'!$O$60=FALSE,"",IF('Cadastro de Insumos'!$P$60=FALSE,(('Cadastro de Insumos'!$E$62*M27)/'Cadastro de Insumos'!$L$62)*1000,(('Cadastro de Insumos'!$E$62*M27)*1000)))</f>
        <v/>
      </c>
      <c r="V27" s="58" t="str">
        <f>IF('Cadastro de Insumos'!$O$64=FALSE,"",IF('Cadastro de Insumos'!$P$64=FALSE,(('Cadastro de Insumos'!$E$66*M27)/'Cadastro de Insumos'!$L$66)*1000,(('Cadastro de Insumos'!$E$66*M27)*1000)))</f>
        <v/>
      </c>
      <c r="W27" s="56" t="str">
        <f>IF('Cadastro de Insumos'!$O$70=FALSE,"",IF('Cadastro de Insumos'!$P$70=FALSE,(('Cadastro de Insumos'!$E$72*M27)/'Cadastro de Insumos'!$L$72)*1000,(('Cadastro de Insumos'!$E$72*M27)*1000)))</f>
        <v/>
      </c>
      <c r="X27" s="57" t="str">
        <f>IF('Cadastro de Insumos'!$O$74=FALSE,"",IF('Cadastro de Insumos'!$P$74=FALSE,(('Cadastro de Insumos'!$E$76*M27)/'Cadastro de Insumos'!$L$76)*1000,(('Cadastro de Insumos'!$E$76*M27)*1000)))</f>
        <v/>
      </c>
      <c r="Y27" s="57" t="str">
        <f>IF('Cadastro de Insumos'!$O$78=FALSE,"",IF('Cadastro de Insumos'!$P$78=FALSE,(('Cadastro de Insumos'!$E$80*M27)/'Cadastro de Insumos'!$L$80)*1000,(('Cadastro de Insumos'!$E$80*M27)*1000)))</f>
        <v/>
      </c>
      <c r="Z27" s="58" t="str">
        <f>IF('Cadastro de Insumos'!$O$82=FALSE,"",IF('Cadastro de Insumos'!$P$82=FALSE,(('Cadastro de Insumos'!$E$84*M27)/'Cadastro de Insumos'!$L$84)*1000,(('Cadastro de Insumos'!$E$84*M27)*1000)))</f>
        <v/>
      </c>
    </row>
    <row r="28" spans="2:26">
      <c r="B28" s="252">
        <f>B26+0.01</f>
        <v>0.60000000000000009</v>
      </c>
      <c r="C28" s="50"/>
      <c r="D28" s="50"/>
      <c r="E28" s="50"/>
      <c r="F28" s="63"/>
      <c r="G28" s="63"/>
      <c r="H28" s="63"/>
      <c r="I28" s="63"/>
      <c r="J28" s="63"/>
      <c r="K28" s="63"/>
      <c r="L28" s="63"/>
      <c r="M28" s="64" t="str">
        <f>IF(M29="","","+"&amp;ROUND(M29-M27,3))</f>
        <v>+0,059</v>
      </c>
      <c r="N28" s="65" t="str">
        <f>IF(N29="","","+"&amp;ROUND(N29-N27,3))</f>
        <v/>
      </c>
      <c r="O28" s="66" t="str">
        <f>IF(O29="","","+"&amp;ROUND(O29-O27,3))</f>
        <v/>
      </c>
      <c r="P28" s="64" t="str">
        <f t="shared" ref="P28:Z28" si="9">IF(P29="","","+"&amp;ROUND(P29-P27,3))</f>
        <v>+0,411</v>
      </c>
      <c r="Q28" s="65" t="str">
        <f t="shared" si="9"/>
        <v/>
      </c>
      <c r="R28" s="67" t="str">
        <f t="shared" si="9"/>
        <v/>
      </c>
      <c r="S28" s="64" t="str">
        <f t="shared" si="9"/>
        <v/>
      </c>
      <c r="T28" s="65" t="str">
        <f t="shared" si="9"/>
        <v/>
      </c>
      <c r="U28" s="65" t="str">
        <f t="shared" si="9"/>
        <v/>
      </c>
      <c r="V28" s="67" t="str">
        <f t="shared" si="9"/>
        <v/>
      </c>
      <c r="W28" s="64" t="str">
        <f t="shared" si="9"/>
        <v/>
      </c>
      <c r="X28" s="65" t="str">
        <f t="shared" si="9"/>
        <v/>
      </c>
      <c r="Y28" s="65" t="str">
        <f t="shared" si="9"/>
        <v/>
      </c>
      <c r="Z28" s="67" t="str">
        <f t="shared" si="9"/>
        <v/>
      </c>
    </row>
    <row r="29" spans="2:26" ht="16.5" thickBot="1">
      <c r="B29" s="253"/>
      <c r="C29" s="60">
        <f>1*'Cadastro de Insumos'!$P$6</f>
        <v>1</v>
      </c>
      <c r="D29" s="60">
        <f>1*'Cadastro de Insumos'!$P$10</f>
        <v>0</v>
      </c>
      <c r="E29" s="60">
        <f>1*'Cadastro de Insumos'!$P$14</f>
        <v>0</v>
      </c>
      <c r="F29" s="57">
        <f>(B28*(1+$B$6)-1)*'Cadastro de Insumos'!$P$20</f>
        <v>2.66</v>
      </c>
      <c r="G29" s="57">
        <f>(B28*(1+$B$6)-1)*'Cadastro de Insumos'!$P$24</f>
        <v>0</v>
      </c>
      <c r="H29" s="57">
        <f>(B28*(1+$B$6)-1)*'Cadastro de Insumos'!$P$28</f>
        <v>0</v>
      </c>
      <c r="I29" s="57">
        <f>($B$6-(SUM(F29:H29)))*'Cadastro de Insumos'!$P$34</f>
        <v>2.6039999999999996</v>
      </c>
      <c r="J29" s="57">
        <f>($B$6-(SUM(F29:H29)))*'Cadastro de Insumos'!$P$38</f>
        <v>1.736</v>
      </c>
      <c r="K29" s="57">
        <f>($B$6-(SUM(F29:H29)))*'Cadastro de Insumos'!$P$42</f>
        <v>0</v>
      </c>
      <c r="L29" s="57">
        <f>($B$6-(SUM(F29:H29)))*'Cadastro de Insumos'!$P$46</f>
        <v>0</v>
      </c>
      <c r="M29" s="56">
        <f>IF(C29=0,"",('Escopo de Estudo'!$D$30/SUM('Ficha de Dosagem - E'!I29:L29))*C29)</f>
        <v>4.6082949308755765</v>
      </c>
      <c r="N29" s="57" t="str">
        <f>IF(N10="","",('Escopo de Estudo'!$D$30/SUM('Ficha de Dosagem - E'!I29:L29))*D29)</f>
        <v/>
      </c>
      <c r="O29" s="58" t="str">
        <f>IF(O10="","",('Escopo de Estudo'!$D$30/SUM('Ficha de Dosagem - E'!I29:L29))*E29)</f>
        <v/>
      </c>
      <c r="P29" s="56">
        <f t="shared" si="1"/>
        <v>12.258064516129034</v>
      </c>
      <c r="Q29" s="72" t="str">
        <f>IF($Q$10="","",SUM(M29:O29)*G29)</f>
        <v/>
      </c>
      <c r="R29" s="55" t="str">
        <f>IF($R$10="","",SUM(M29:O29)*H29)</f>
        <v/>
      </c>
      <c r="S29" s="56" t="str">
        <f>IF('Cadastro de Insumos'!$O$52=FALSE,"",IF('Cadastro de Insumos'!$P$52=FALSE,(('Cadastro de Insumos'!$E$54*M29)/'Cadastro de Insumos'!$L$54)*1000,(('Cadastro de Insumos'!$E$54*M29)*1000)))</f>
        <v/>
      </c>
      <c r="T29" s="57" t="str">
        <f>IF('Cadastro de Insumos'!$O$56=FALSE,"",IF('Cadastro de Insumos'!$P$56=FALSE,(('Cadastro de Insumos'!$E$58*M29)/'Cadastro de Insumos'!$L$58)*1000,(('Cadastro de Insumos'!$E$58*M29)*1000)))</f>
        <v/>
      </c>
      <c r="U29" s="57" t="str">
        <f>IF('Cadastro de Insumos'!$O$60=FALSE,"",IF('Cadastro de Insumos'!$P$60=FALSE,(('Cadastro de Insumos'!$E$62*M29)/'Cadastro de Insumos'!$L$62)*1000,(('Cadastro de Insumos'!$E$62*M29)*1000)))</f>
        <v/>
      </c>
      <c r="V29" s="58" t="str">
        <f>IF('Cadastro de Insumos'!$O$64=FALSE,"",IF('Cadastro de Insumos'!$P$64=FALSE,(('Cadastro de Insumos'!$E$66*M29)/'Cadastro de Insumos'!$L$66)*1000,(('Cadastro de Insumos'!$E$66*M29)*1000)))</f>
        <v/>
      </c>
      <c r="W29" s="56" t="str">
        <f>IF('Cadastro de Insumos'!$O$70=FALSE,"",IF('Cadastro de Insumos'!$P$70=FALSE,(('Cadastro de Insumos'!$E$72*M29)/'Cadastro de Insumos'!$L$72)*1000,(('Cadastro de Insumos'!$E$72*M29)*1000)))</f>
        <v/>
      </c>
      <c r="X29" s="57" t="str">
        <f>IF('Cadastro de Insumos'!$O$74=FALSE,"",IF('Cadastro de Insumos'!$P$74=FALSE,(('Cadastro de Insumos'!$E$76*M29)/'Cadastro de Insumos'!$L$76)*1000,(('Cadastro de Insumos'!$E$76*M29)*1000)))</f>
        <v/>
      </c>
      <c r="Y29" s="57" t="str">
        <f>IF('Cadastro de Insumos'!$O$78=FALSE,"",IF('Cadastro de Insumos'!$P$78=FALSE,(('Cadastro de Insumos'!$E$80*M29)/'Cadastro de Insumos'!$L$80)*1000,(('Cadastro de Insumos'!$E$80*M29)*1000)))</f>
        <v/>
      </c>
      <c r="Z29" s="58" t="str">
        <f>IF('Cadastro de Insumos'!$O$82=FALSE,"",IF('Cadastro de Insumos'!$P$82=FALSE,(('Cadastro de Insumos'!$E$84*M29)/'Cadastro de Insumos'!$L$84)*1000,(('Cadastro de Insumos'!$E$84*M29)*1000)))</f>
        <v/>
      </c>
    </row>
    <row r="30" spans="2:26">
      <c r="B30" s="252">
        <f>B28+0.01</f>
        <v>0.6100000000000001</v>
      </c>
      <c r="C30" s="50"/>
      <c r="D30" s="50"/>
      <c r="E30" s="50"/>
      <c r="F30" s="63"/>
      <c r="G30" s="63"/>
      <c r="H30" s="63"/>
      <c r="I30" s="63"/>
      <c r="J30" s="63"/>
      <c r="K30" s="63"/>
      <c r="L30" s="63"/>
      <c r="M30" s="64" t="str">
        <f>IF(M31="","","+"&amp;ROUND(M31-M29,3))</f>
        <v>+0,06</v>
      </c>
      <c r="N30" s="65" t="str">
        <f>IF(N31="","","+"&amp;ROUND(N31-N29,3))</f>
        <v/>
      </c>
      <c r="O30" s="66" t="str">
        <f>IF(O31="","","+"&amp;ROUND(O31-O29,3))</f>
        <v/>
      </c>
      <c r="P30" s="64" t="str">
        <f t="shared" ref="P30:Z30" si="10">IF(P31="","","+"&amp;ROUND(P31-P29,3))</f>
        <v>+0,422</v>
      </c>
      <c r="Q30" s="65" t="str">
        <f t="shared" si="10"/>
        <v/>
      </c>
      <c r="R30" s="67" t="str">
        <f t="shared" si="10"/>
        <v/>
      </c>
      <c r="S30" s="64" t="str">
        <f t="shared" si="10"/>
        <v/>
      </c>
      <c r="T30" s="65" t="str">
        <f t="shared" si="10"/>
        <v/>
      </c>
      <c r="U30" s="65" t="str">
        <f t="shared" si="10"/>
        <v/>
      </c>
      <c r="V30" s="67" t="str">
        <f t="shared" si="10"/>
        <v/>
      </c>
      <c r="W30" s="64" t="str">
        <f t="shared" si="10"/>
        <v/>
      </c>
      <c r="X30" s="65" t="str">
        <f t="shared" si="10"/>
        <v/>
      </c>
      <c r="Y30" s="65" t="str">
        <f t="shared" si="10"/>
        <v/>
      </c>
      <c r="Z30" s="67" t="str">
        <f t="shared" si="10"/>
        <v/>
      </c>
    </row>
    <row r="31" spans="2:26" ht="16.5" thickBot="1">
      <c r="B31" s="253"/>
      <c r="C31" s="60">
        <f>1*'Cadastro de Insumos'!$P$6</f>
        <v>1</v>
      </c>
      <c r="D31" s="60">
        <f>1*'Cadastro de Insumos'!$P$10</f>
        <v>0</v>
      </c>
      <c r="E31" s="60">
        <f>1*'Cadastro de Insumos'!$P$14</f>
        <v>0</v>
      </c>
      <c r="F31" s="57">
        <f>(B30*(1+$B$6)-1)*'Cadastro de Insumos'!$P$20</f>
        <v>2.7160000000000002</v>
      </c>
      <c r="G31" s="57">
        <f>(B30*(1+$B$6)-1)*'Cadastro de Insumos'!$P$24</f>
        <v>0</v>
      </c>
      <c r="H31" s="57">
        <f>(B30*(1+$B$6)-1)*'Cadastro de Insumos'!$P$28</f>
        <v>0</v>
      </c>
      <c r="I31" s="57">
        <f>($B$6-(SUM(F31:H31)))*'Cadastro de Insumos'!$P$34</f>
        <v>2.5703999999999998</v>
      </c>
      <c r="J31" s="57">
        <f>($B$6-(SUM(F31:H31)))*'Cadastro de Insumos'!$P$38</f>
        <v>1.7136</v>
      </c>
      <c r="K31" s="57">
        <f>($B$6-(SUM(F31:H31)))*'Cadastro de Insumos'!$P$42</f>
        <v>0</v>
      </c>
      <c r="L31" s="57">
        <f>($B$6-(SUM(F31:H31)))*'Cadastro de Insumos'!$P$46</f>
        <v>0</v>
      </c>
      <c r="M31" s="56">
        <f>IF(C31=0,"",('Escopo de Estudo'!$D$30/SUM('Ficha de Dosagem - E'!I31:L31))*C31)</f>
        <v>4.6685340802987865</v>
      </c>
      <c r="N31" s="57" t="str">
        <f>IF(N10="","",('Escopo de Estudo'!$D$30/SUM('Ficha de Dosagem - E'!I31:L31))*D31)</f>
        <v/>
      </c>
      <c r="O31" s="58" t="str">
        <f>IF(O10="","",('Escopo de Estudo'!$D$30/SUM('Ficha de Dosagem - E'!I31:L31))*E31)</f>
        <v/>
      </c>
      <c r="P31" s="56">
        <f t="shared" si="1"/>
        <v>12.679738562091504</v>
      </c>
      <c r="Q31" s="57" t="str">
        <f>IF($Q$10="","",SUM(M31:O31)*G31)</f>
        <v/>
      </c>
      <c r="R31" s="58" t="str">
        <f>IF($R$10="","",SUM(M31:O31)*H31)</f>
        <v/>
      </c>
      <c r="S31" s="56" t="str">
        <f>IF('Cadastro de Insumos'!$O$52=FALSE,"",IF('Cadastro de Insumos'!$P$52=FALSE,(('Cadastro de Insumos'!$E$54*M31)/'Cadastro de Insumos'!$L$54)*1000,(('Cadastro de Insumos'!$E$54*M31)*1000)))</f>
        <v/>
      </c>
      <c r="T31" s="57" t="str">
        <f>IF('Cadastro de Insumos'!$O$56=FALSE,"",IF('Cadastro de Insumos'!$P$56=FALSE,(('Cadastro de Insumos'!$E$58*M31)/'Cadastro de Insumos'!$L$58)*1000,(('Cadastro de Insumos'!$E$58*M31)*1000)))</f>
        <v/>
      </c>
      <c r="U31" s="57" t="str">
        <f>IF('Cadastro de Insumos'!$O$60=FALSE,"",IF('Cadastro de Insumos'!$P$60=FALSE,(('Cadastro de Insumos'!$E$62*M31)/'Cadastro de Insumos'!$L$62)*1000,(('Cadastro de Insumos'!$E$62*M31)*1000)))</f>
        <v/>
      </c>
      <c r="V31" s="58" t="str">
        <f>IF('Cadastro de Insumos'!$O$64=FALSE,"",IF('Cadastro de Insumos'!$P$64=FALSE,(('Cadastro de Insumos'!$E$66*M31)/'Cadastro de Insumos'!$L$66)*1000,(('Cadastro de Insumos'!$E$66*M31)*1000)))</f>
        <v/>
      </c>
      <c r="W31" s="56" t="str">
        <f>IF('Cadastro de Insumos'!$O$70=FALSE,"",IF('Cadastro de Insumos'!$P$70=FALSE,(('Cadastro de Insumos'!$E$72*M31)/'Cadastro de Insumos'!$L$72)*1000,(('Cadastro de Insumos'!$E$72*M31)*1000)))</f>
        <v/>
      </c>
      <c r="X31" s="57" t="str">
        <f>IF('Cadastro de Insumos'!$O$74=FALSE,"",IF('Cadastro de Insumos'!$P$74=FALSE,(('Cadastro de Insumos'!$E$76*M31)/'Cadastro de Insumos'!$L$76)*1000,(('Cadastro de Insumos'!$E$76*M31)*1000)))</f>
        <v/>
      </c>
      <c r="Y31" s="57" t="str">
        <f>IF('Cadastro de Insumos'!$O$78=FALSE,"",IF('Cadastro de Insumos'!$P$78=FALSE,(('Cadastro de Insumos'!$E$80*M31)/'Cadastro de Insumos'!$L$80)*1000,(('Cadastro de Insumos'!$E$80*M31)*1000)))</f>
        <v/>
      </c>
      <c r="Z31" s="58" t="str">
        <f>IF('Cadastro de Insumos'!$O$82=FALSE,"",IF('Cadastro de Insumos'!$P$82=FALSE,(('Cadastro de Insumos'!$E$84*M31)/'Cadastro de Insumos'!$L$84)*1000,(('Cadastro de Insumos'!$E$84*M31)*1000)))</f>
        <v/>
      </c>
    </row>
  </sheetData>
  <mergeCells count="34">
    <mergeCell ref="N7:O7"/>
    <mergeCell ref="Q7:R7"/>
    <mergeCell ref="T7:V7"/>
    <mergeCell ref="X7:Z7"/>
    <mergeCell ref="N2:O2"/>
    <mergeCell ref="U2:W2"/>
    <mergeCell ref="N3:O3"/>
    <mergeCell ref="U3:W3"/>
    <mergeCell ref="N5:O5"/>
    <mergeCell ref="Q5:R5"/>
    <mergeCell ref="T5:V5"/>
    <mergeCell ref="X5:Z5"/>
    <mergeCell ref="N6:O6"/>
    <mergeCell ref="Q6:R6"/>
    <mergeCell ref="T6:V6"/>
    <mergeCell ref="X6:Z6"/>
    <mergeCell ref="T8:V8"/>
    <mergeCell ref="X8:Z8"/>
    <mergeCell ref="B9:B10"/>
    <mergeCell ref="C9:K9"/>
    <mergeCell ref="M9:O9"/>
    <mergeCell ref="P9:R9"/>
    <mergeCell ref="S9:V9"/>
    <mergeCell ref="W9:Z9"/>
    <mergeCell ref="B24:B25"/>
    <mergeCell ref="B26:B27"/>
    <mergeCell ref="B28:B29"/>
    <mergeCell ref="B30:B31"/>
    <mergeCell ref="B12:B13"/>
    <mergeCell ref="B14:B15"/>
    <mergeCell ref="B16:B17"/>
    <mergeCell ref="B18:B19"/>
    <mergeCell ref="B20:B21"/>
    <mergeCell ref="B22:B23"/>
  </mergeCells>
  <conditionalFormatting sqref="B2:Z31">
    <cfRule type="expression" dxfId="5" priority="1">
      <formula>$B$2=FALSE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15D9F3A4-40F3-4DB6-B8C5-63BBD955ADB7}">
            <xm:f>'Dados - Fase Plástica'!$P$1="ERRO"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B2:Z31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6175-6DBF-41EA-A8B4-1BAB31B60DC4}">
  <dimension ref="B1:Z31"/>
  <sheetViews>
    <sheetView view="pageBreakPreview" zoomScaleNormal="100" zoomScaleSheetLayoutView="100" workbookViewId="0">
      <selection activeCell="N2" sqref="N2:O2"/>
    </sheetView>
  </sheetViews>
  <sheetFormatPr defaultColWidth="9.125" defaultRowHeight="15.75"/>
  <cols>
    <col min="1" max="1" width="9.125" style="27"/>
    <col min="2" max="2" width="15.625" style="27" bestFit="1" customWidth="1"/>
    <col min="3" max="12" width="0" style="27" hidden="1" customWidth="1"/>
    <col min="13" max="18" width="16.125" style="27" customWidth="1"/>
    <col min="19" max="26" width="13.375" style="27" customWidth="1"/>
    <col min="27" max="16384" width="9.125" style="27"/>
  </cols>
  <sheetData>
    <row r="1" spans="2:26" ht="16.5" thickBot="1"/>
    <row r="2" spans="2:26" ht="28.5" customHeight="1">
      <c r="B2" s="73" t="b">
        <f>'Escopo de Estudo'!X10</f>
        <v>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49" t="str">
        <f>IF('Cadastro de Insumos'!O34=FALSE,"","p1")</f>
        <v>p1</v>
      </c>
      <c r="N2" s="260" t="str">
        <f>IF(M2="","",'Cadastro de Insumos'!E34&amp;" - "&amp;'Cadastro de Insumos'!E35&amp;" - "&amp;'Cadastro de Insumos'!E36)</f>
        <v>Brita 1 - Serra de São Vicente - Cuiabá-MT</v>
      </c>
      <c r="O2" s="260"/>
      <c r="P2" s="68" t="str">
        <f>IF(M2="","","Quantidade (kg)")</f>
        <v>Quantidade (kg)</v>
      </c>
      <c r="Q2" s="71">
        <f>IF(M2="","",'Escopo de Estudo'!D30*'Cadastro de Insumos'!P34)</f>
        <v>12</v>
      </c>
      <c r="R2" s="50"/>
      <c r="S2" s="50"/>
      <c r="T2" s="49" t="str">
        <f>IF('Cadastro de Insumos'!O42=FALSE,"","p3")</f>
        <v/>
      </c>
      <c r="U2" s="248" t="str">
        <f>IF(T2="","",'Cadastro de Insumos'!E42&amp;" - "&amp;'Cadastro de Insumos'!E43&amp;" - "&amp;'Cadastro de Insumos'!E44)</f>
        <v/>
      </c>
      <c r="V2" s="248"/>
      <c r="W2" s="248"/>
      <c r="X2" s="68" t="str">
        <f>IF(U2="","","Quantidade (kg)")</f>
        <v/>
      </c>
      <c r="Y2" s="51" t="str">
        <f>IF(T2="","",'Escopo de Estudo'!D30*'Cadastro de Insumos'!P42)</f>
        <v/>
      </c>
      <c r="Z2" s="51"/>
    </row>
    <row r="3" spans="2:26" ht="28.5" customHeight="1" thickBot="1">
      <c r="B3" s="52"/>
      <c r="M3" s="59" t="str">
        <f>IF('Cadastro de Insumos'!O38=FALSE,"","p2")</f>
        <v>p2</v>
      </c>
      <c r="N3" s="261" t="str">
        <f>IF(M3="","",'Cadastro de Insumos'!E38&amp;" - "&amp;'Cadastro de Insumos'!E39&amp;" - "&amp;'Cadastro de Insumos'!E40)</f>
        <v>Brita 0 - Serra de São Vicente - Cuiabá-MT</v>
      </c>
      <c r="O3" s="261"/>
      <c r="P3" s="69" t="str">
        <f>IF(M3="","","Quantidade (kg)")</f>
        <v>Quantidade (kg)</v>
      </c>
      <c r="Q3" s="58">
        <f>IF(M3="","",'Escopo de Estudo'!D30*'Cadastro de Insumos'!P38)</f>
        <v>8</v>
      </c>
      <c r="T3" s="59" t="str">
        <f>IF('Cadastro de Insumos'!O46=FALSE,"","p4")</f>
        <v/>
      </c>
      <c r="U3" s="262" t="str">
        <f>IF(T3="","",'Cadastro de Insumos'!E46&amp;" - "&amp;'Cadastro de Insumos'!E47&amp;" - "&amp;'Cadastro de Insumos'!E48)</f>
        <v/>
      </c>
      <c r="V3" s="262"/>
      <c r="W3" s="262"/>
      <c r="X3" s="69" t="str">
        <f>IF(U3="","","Quantidade (kg)")</f>
        <v/>
      </c>
      <c r="Y3" s="61" t="str">
        <f>IF(T3="","",'Escopo de Estudo'!D30*'Cadastro de Insumos'!P46)</f>
        <v/>
      </c>
      <c r="Z3" s="53"/>
    </row>
    <row r="4" spans="2:26" ht="15.75" customHeight="1" thickBot="1">
      <c r="B4" s="52"/>
      <c r="Z4" s="53"/>
    </row>
    <row r="5" spans="2:26" ht="28.5" customHeight="1">
      <c r="B5" s="47" t="s">
        <v>81</v>
      </c>
      <c r="M5" s="49" t="str">
        <f>M10</f>
        <v>CP</v>
      </c>
      <c r="N5" s="254" t="str">
        <f>IF(M5="","",'Cadastro de Insumos'!E6&amp;" - "&amp;'Cadastro de Insumos'!E7&amp;" - "&amp;'Cadastro de Insumos'!E8)</f>
        <v>CP II F 40 - Votorantim - Cuiabá-MT</v>
      </c>
      <c r="O5" s="255"/>
      <c r="P5" s="49" t="str">
        <f>P10</f>
        <v>a1</v>
      </c>
      <c r="Q5" s="254" t="str">
        <f>IF(P5="","",'Cadastro de Insumos'!E20&amp;" - "&amp;'Cadastro de Insumos'!E21&amp;" - "&amp;'Cadastro de Insumos'!E22)</f>
        <v>Areia Natural do Rio Cuiabá - - - Cuiabá - MT</v>
      </c>
      <c r="R5" s="255"/>
      <c r="S5" s="49" t="str">
        <f>S10</f>
        <v/>
      </c>
      <c r="T5" s="254" t="str">
        <f>IF(S5="","",'Cadastro de Insumos'!E52&amp;" - "&amp;'Cadastro de Insumos'!E53&amp;" - "&amp;'Cadastro de Insumos'!E54*100&amp;"% - "&amp;'Cadastro de Insumos'!L54)</f>
        <v/>
      </c>
      <c r="U5" s="254"/>
      <c r="V5" s="255"/>
      <c r="W5" s="49" t="str">
        <f>W10</f>
        <v/>
      </c>
      <c r="X5" s="254"/>
      <c r="Y5" s="254"/>
      <c r="Z5" s="255"/>
    </row>
    <row r="6" spans="2:26" ht="28.5" customHeight="1" thickBot="1">
      <c r="B6" s="48">
        <f>'Escopo de Estudo'!X8</f>
        <v>8</v>
      </c>
      <c r="M6" s="52" t="str">
        <f>N10</f>
        <v/>
      </c>
      <c r="N6" s="256" t="str">
        <f>IF(M6="","",'Cadastro de Insumos'!E10&amp;" - "&amp;'Cadastro de Insumos'!E11&amp;" - "&amp;'Cadastro de Insumos'!E12)</f>
        <v/>
      </c>
      <c r="O6" s="257"/>
      <c r="P6" s="52" t="str">
        <f>Q10</f>
        <v/>
      </c>
      <c r="Q6" s="256" t="str">
        <f>IF(P6="","",'Cadastro de Insumos'!E24&amp;" - "&amp;'Cadastro de Insumos'!E25&amp;" - "&amp;'Cadastro de Insumos'!E26)</f>
        <v/>
      </c>
      <c r="R6" s="257"/>
      <c r="S6" s="52" t="str">
        <f>T10</f>
        <v/>
      </c>
      <c r="T6" s="256" t="str">
        <f>IF(S6="","",'Cadastro de Insumos'!E56&amp;" - "&amp;'Cadastro de Insumos'!E57&amp;" - "&amp;'Cadastro de Insumos'!E58*100&amp;"% - "&amp;'Cadastro de Insumos'!L58)</f>
        <v/>
      </c>
      <c r="U6" s="256"/>
      <c r="V6" s="257"/>
      <c r="W6" s="52" t="str">
        <f>X10</f>
        <v/>
      </c>
      <c r="X6" s="256"/>
      <c r="Y6" s="256"/>
      <c r="Z6" s="257"/>
    </row>
    <row r="7" spans="2:26" ht="28.5" customHeight="1" thickBot="1">
      <c r="B7" s="52"/>
      <c r="M7" s="59" t="str">
        <f>O10</f>
        <v/>
      </c>
      <c r="N7" s="258" t="str">
        <f>IF(M7="","",'Cadastro de Insumos'!E14&amp;" - "&amp;'Cadastro de Insumos'!E15&amp;" - "&amp;'Cadastro de Insumos'!E16)</f>
        <v/>
      </c>
      <c r="O7" s="259"/>
      <c r="P7" s="59" t="str">
        <f>R10</f>
        <v/>
      </c>
      <c r="Q7" s="258" t="str">
        <f>IF(P7="","",'Cadastro de Insumos'!E28&amp;" - "&amp;'Cadastro de Insumos'!E29&amp;" - "&amp;'Cadastro de Insumos'!E30)</f>
        <v/>
      </c>
      <c r="R7" s="259"/>
      <c r="S7" s="52" t="str">
        <f>U10</f>
        <v/>
      </c>
      <c r="T7" s="256" t="str">
        <f>IF(S7="","",'Cadastro de Insumos'!E60&amp;" - "&amp;'Cadastro de Insumos'!E61&amp;" - "&amp;'Cadastro de Insumos'!E62*100&amp;"% - "&amp;'Cadastro de Insumos'!L62)</f>
        <v/>
      </c>
      <c r="U7" s="256"/>
      <c r="V7" s="257"/>
      <c r="W7" s="52" t="str">
        <f>Y10</f>
        <v/>
      </c>
      <c r="X7" s="256"/>
      <c r="Y7" s="256"/>
      <c r="Z7" s="257"/>
    </row>
    <row r="8" spans="2:26" ht="28.5" customHeight="1" thickBot="1">
      <c r="B8" s="52"/>
      <c r="M8" s="50"/>
      <c r="N8" s="50"/>
      <c r="O8" s="50"/>
      <c r="Q8" s="50"/>
      <c r="R8" s="53"/>
      <c r="S8" s="59" t="str">
        <f>V10</f>
        <v/>
      </c>
      <c r="T8" s="258" t="str">
        <f>IF(S8="","",'Cadastro de Insumos'!E64&amp;" - "&amp;'Cadastro de Insumos'!E65&amp;" - "&amp;'Cadastro de Insumos'!E66*100&amp;"% - "&amp;'Cadastro de Insumos'!L66)</f>
        <v/>
      </c>
      <c r="U8" s="258"/>
      <c r="V8" s="259"/>
      <c r="W8" s="59" t="str">
        <f>Z10</f>
        <v/>
      </c>
      <c r="X8" s="258"/>
      <c r="Y8" s="258"/>
      <c r="Z8" s="259"/>
    </row>
    <row r="9" spans="2:26">
      <c r="B9" s="250" t="s">
        <v>65</v>
      </c>
      <c r="C9" s="248" t="s">
        <v>121</v>
      </c>
      <c r="D9" s="248"/>
      <c r="E9" s="248"/>
      <c r="F9" s="248"/>
      <c r="G9" s="248"/>
      <c r="H9" s="248"/>
      <c r="I9" s="248"/>
      <c r="J9" s="248"/>
      <c r="K9" s="248"/>
      <c r="L9" s="50"/>
      <c r="M9" s="247" t="s">
        <v>122</v>
      </c>
      <c r="N9" s="248"/>
      <c r="O9" s="249"/>
      <c r="P9" s="247" t="s">
        <v>123</v>
      </c>
      <c r="Q9" s="248"/>
      <c r="R9" s="249"/>
      <c r="S9" s="247" t="s">
        <v>124</v>
      </c>
      <c r="T9" s="248"/>
      <c r="U9" s="248"/>
      <c r="V9" s="249"/>
      <c r="W9" s="247" t="s">
        <v>125</v>
      </c>
      <c r="X9" s="248"/>
      <c r="Y9" s="248"/>
      <c r="Z9" s="249"/>
    </row>
    <row r="10" spans="2:26" ht="16.5" thickBot="1">
      <c r="B10" s="251"/>
      <c r="C10" s="60" t="s">
        <v>79</v>
      </c>
      <c r="D10" s="60" t="s">
        <v>126</v>
      </c>
      <c r="E10" s="60" t="s">
        <v>127</v>
      </c>
      <c r="F10" s="60" t="s">
        <v>128</v>
      </c>
      <c r="G10" s="60" t="s">
        <v>129</v>
      </c>
      <c r="H10" s="60" t="s">
        <v>130</v>
      </c>
      <c r="I10" s="60" t="s">
        <v>131</v>
      </c>
      <c r="J10" s="60" t="s">
        <v>132</v>
      </c>
      <c r="K10" s="60" t="s">
        <v>133</v>
      </c>
      <c r="L10" s="60" t="s">
        <v>134</v>
      </c>
      <c r="M10" s="59" t="s">
        <v>79</v>
      </c>
      <c r="N10" s="60" t="str">
        <f>IF('Cadastro de Insumos'!O10=FALSE,"","MCS1")</f>
        <v/>
      </c>
      <c r="O10" s="61" t="str">
        <f>IF('Cadastro de Insumos'!O14=FALSE,"","MCS2")</f>
        <v/>
      </c>
      <c r="P10" s="59" t="str">
        <f>IF('Cadastro de Insumos'!O20=FALSE,"","a1")</f>
        <v>a1</v>
      </c>
      <c r="Q10" s="60" t="str">
        <f>IF('Cadastro de Insumos'!O24=FALSE,"","a2")</f>
        <v/>
      </c>
      <c r="R10" s="61" t="str">
        <f>IF('Cadastro de Insumos'!O28=FALSE,"","a3")</f>
        <v/>
      </c>
      <c r="S10" s="59" t="str">
        <f>IF('Cadastro de Insumos'!O52=FALSE,"","Adt1"&amp;IF('Cadastro de Insumos'!P52=FALSE," - ml"," - g"))</f>
        <v/>
      </c>
      <c r="T10" s="60" t="str">
        <f>IF('Cadastro de Insumos'!O56=FALSE,"","Adt2"&amp;IF('Cadastro de Insumos'!P56=FALSE," - ml"," - g"))</f>
        <v/>
      </c>
      <c r="U10" s="60" t="str">
        <f>IF('Cadastro de Insumos'!O60=FALSE,"","Adt3"&amp;IF('Cadastro de Insumos'!P60=FALSE," - ml"," - g"))</f>
        <v/>
      </c>
      <c r="V10" s="61" t="str">
        <f>IF('Cadastro de Insumos'!O64=FALSE,"","Adt4"&amp;IF('Cadastro de Insumos'!P64=FALSE," - ml"," - g"))</f>
        <v/>
      </c>
      <c r="W10" s="59" t="str">
        <f>IF('Cadastro de Insumos'!O70=FALSE,"","Adc1"&amp;IF('Cadastro de Insumos'!P70=FALSE," - ml"," - g"))</f>
        <v/>
      </c>
      <c r="X10" s="60" t="str">
        <f>IF('Cadastro de Insumos'!O74=FALSE,"","Adc2"&amp;IF('Cadastro de Insumos'!P74=FALSE," - ml"," - g"))</f>
        <v/>
      </c>
      <c r="Y10" s="60" t="str">
        <f>IF('Cadastro de Insumos'!O78=FALSE,"","Adc4"&amp;IF('Cadastro de Insumos'!P78=FALSE," - ml"," - g"))</f>
        <v/>
      </c>
      <c r="Z10" s="61" t="str">
        <f>IF('Cadastro de Insumos'!O82=FALSE,"","Adc4"&amp;IF('Cadastro de Insumos'!P82=FALSE," - ml"," - g"))</f>
        <v/>
      </c>
    </row>
    <row r="11" spans="2:26" ht="16.5" thickBot="1">
      <c r="B11" s="62">
        <f>'Escopo de Estudo'!J30</f>
        <v>0.51</v>
      </c>
      <c r="C11" s="27">
        <f>1*'Cadastro de Insumos'!$P$6</f>
        <v>1</v>
      </c>
      <c r="D11" s="27">
        <f>1*'Cadastro de Insumos'!$P$10</f>
        <v>0</v>
      </c>
      <c r="E11" s="27">
        <f>1*'Cadastro de Insumos'!$P$14</f>
        <v>0</v>
      </c>
      <c r="F11" s="72">
        <f>(B11*(1+$B$6)-1)*'Cadastro de Insumos'!$P$20</f>
        <v>2.5129999999999999</v>
      </c>
      <c r="G11" s="72">
        <f>(B11*(1+$B$6)-1)*'Cadastro de Insumos'!$P$24</f>
        <v>0</v>
      </c>
      <c r="H11" s="72">
        <f>(B11*(1+$B$6)-1)*'Cadastro de Insumos'!$P$28</f>
        <v>0</v>
      </c>
      <c r="I11" s="72">
        <f>($B$6-(SUM(F11:H11)))*'Cadastro de Insumos'!$P$34</f>
        <v>3.2921999999999998</v>
      </c>
      <c r="J11" s="72">
        <f>($B$6-(SUM(F11:H11)))*'Cadastro de Insumos'!$P$38</f>
        <v>2.1948000000000003</v>
      </c>
      <c r="K11" s="72">
        <f>($B$6-(SUM(F11:H11)))*'Cadastro de Insumos'!$P$42</f>
        <v>0</v>
      </c>
      <c r="L11" s="72">
        <f>($B$6-(SUM(F11:H11)))*'Cadastro de Insumos'!$P$46</f>
        <v>0</v>
      </c>
      <c r="M11" s="54">
        <f>IF(C11=0,"",('Escopo de Estudo'!$D$30/SUM('Ficha de Dosagem - F'!I11:L11))*C11)</f>
        <v>3.6449790413705121</v>
      </c>
      <c r="N11" s="72" t="str">
        <f>IF(N10="","",('Escopo de Estudo'!$D$30/SUM('Ficha de Dosagem - F'!I11:L11))*D11)</f>
        <v/>
      </c>
      <c r="O11" s="55" t="str">
        <f>IF(O10="","",('Escopo de Estudo'!$D$30/SUM('Ficha de Dosagem - F'!I11:L11))*E11)</f>
        <v/>
      </c>
      <c r="P11" s="54">
        <f>IF(F11=0,"",SUM(M11:O11)*F11)</f>
        <v>9.1598323309640968</v>
      </c>
      <c r="Q11" s="72" t="str">
        <f>IF($Q$10="","",SUM(M11:O11)*G11)</f>
        <v/>
      </c>
      <c r="R11" s="55" t="str">
        <f>IF($R$10="","",SUM(M11:O11)*H11)</f>
        <v/>
      </c>
      <c r="S11" s="54" t="str">
        <f>IF('Cadastro de Insumos'!$O$52=FALSE,"",IF('Cadastro de Insumos'!$P$52=FALSE,(('Cadastro de Insumos'!$E$54*M11)/'Cadastro de Insumos'!$L$54)*1000,(('Cadastro de Insumos'!$E$54*M11)*1000)))</f>
        <v/>
      </c>
      <c r="T11" s="72" t="str">
        <f>IF('Cadastro de Insumos'!$O$56=FALSE,"",IF('Cadastro de Insumos'!$P$56=FALSE,(('Cadastro de Insumos'!$E$58*M11)/'Cadastro de Insumos'!$L$58)*1000,(('Cadastro de Insumos'!$E$58*M11)*1000)))</f>
        <v/>
      </c>
      <c r="U11" s="72" t="str">
        <f>IF('Cadastro de Insumos'!$O$60=FALSE,"",IF('Cadastro de Insumos'!$P$60=FALSE,(('Cadastro de Insumos'!$E$62*M11)/'Cadastro de Insumos'!$L$62)*1000,(('Cadastro de Insumos'!$E$62*M11)*1000)))</f>
        <v/>
      </c>
      <c r="V11" s="55" t="str">
        <f>IF('Cadastro de Insumos'!$O$64=FALSE,"",IF('Cadastro de Insumos'!$P$64=FALSE,(('Cadastro de Insumos'!$E$66*M11)/'Cadastro de Insumos'!$L$66)*1000,(('Cadastro de Insumos'!$E$66*M11)*1000)))</f>
        <v/>
      </c>
      <c r="W11" s="54" t="str">
        <f>IF('Cadastro de Insumos'!$O$70=FALSE,"",IF('Cadastro de Insumos'!$P$70=FALSE,(('Cadastro de Insumos'!$E$72*M11)/'Cadastro de Insumos'!$L$72)*1000,(('Cadastro de Insumos'!$E$72*M11)*1000)))</f>
        <v/>
      </c>
      <c r="X11" s="72" t="str">
        <f>IF('Cadastro de Insumos'!$O$74=FALSE,"",IF('Cadastro de Insumos'!$P$74=FALSE,(('Cadastro de Insumos'!$E$76*M11)/'Cadastro de Insumos'!$L$76)*1000,(('Cadastro de Insumos'!$E$76*M11)*1000)))</f>
        <v/>
      </c>
      <c r="Y11" s="72" t="str">
        <f>IF('Cadastro de Insumos'!$O$78=FALSE,"",IF('Cadastro de Insumos'!$P$78=FALSE,(('Cadastro de Insumos'!$E$80*M11)/'Cadastro de Insumos'!$L$80)*1000,(('Cadastro de Insumos'!$E$80*M11)*1000)))</f>
        <v/>
      </c>
      <c r="Z11" s="55" t="str">
        <f>IF('Cadastro de Insumos'!$O$82=FALSE,"",IF('Cadastro de Insumos'!$P$82=FALSE,(('Cadastro de Insumos'!$E$84*M11)/'Cadastro de Insumos'!$L$84)*1000,(('Cadastro de Insumos'!$E$84*M11)*1000)))</f>
        <v/>
      </c>
    </row>
    <row r="12" spans="2:26">
      <c r="B12" s="252">
        <f>B11+0.01</f>
        <v>0.52</v>
      </c>
      <c r="C12" s="50"/>
      <c r="D12" s="50"/>
      <c r="E12" s="50"/>
      <c r="F12" s="63"/>
      <c r="G12" s="63"/>
      <c r="H12" s="63"/>
      <c r="I12" s="63"/>
      <c r="J12" s="63"/>
      <c r="K12" s="63"/>
      <c r="L12" s="63"/>
      <c r="M12" s="64" t="str">
        <f>IF(M13="","","+"&amp;ROUND(M13-M11,3))</f>
        <v>+0,042</v>
      </c>
      <c r="N12" s="65" t="str">
        <f>IF(N13="","","+"&amp;ROUND(N13-N11,3))</f>
        <v/>
      </c>
      <c r="O12" s="66" t="str">
        <f>IF(O13="","","+"&amp;ROUND(O13-O11,3))</f>
        <v/>
      </c>
      <c r="P12" s="64" t="str">
        <f t="shared" ref="P12:Z12" si="0">IF(P13="","","+"&amp;ROUND(P13-P11,3))</f>
        <v>+0,339</v>
      </c>
      <c r="Q12" s="65" t="str">
        <f t="shared" si="0"/>
        <v/>
      </c>
      <c r="R12" s="67" t="str">
        <f t="shared" si="0"/>
        <v/>
      </c>
      <c r="S12" s="64" t="str">
        <f t="shared" si="0"/>
        <v/>
      </c>
      <c r="T12" s="65" t="str">
        <f t="shared" si="0"/>
        <v/>
      </c>
      <c r="U12" s="65" t="str">
        <f t="shared" si="0"/>
        <v/>
      </c>
      <c r="V12" s="67" t="str">
        <f t="shared" si="0"/>
        <v/>
      </c>
      <c r="W12" s="64" t="str">
        <f t="shared" si="0"/>
        <v/>
      </c>
      <c r="X12" s="65" t="str">
        <f t="shared" si="0"/>
        <v/>
      </c>
      <c r="Y12" s="65" t="str">
        <f t="shared" si="0"/>
        <v/>
      </c>
      <c r="Z12" s="67" t="str">
        <f t="shared" si="0"/>
        <v/>
      </c>
    </row>
    <row r="13" spans="2:26" ht="16.5" thickBot="1">
      <c r="B13" s="253"/>
      <c r="C13" s="60">
        <f>1*'Cadastro de Insumos'!$P$6</f>
        <v>1</v>
      </c>
      <c r="D13" s="60">
        <f>1*'Cadastro de Insumos'!$P$10</f>
        <v>0</v>
      </c>
      <c r="E13" s="60">
        <f>1*'Cadastro de Insumos'!$P$14</f>
        <v>0</v>
      </c>
      <c r="F13" s="57">
        <f>(B12*(1+$B$6)-1)*'Cadastro de Insumos'!$P$20</f>
        <v>2.5759999999999996</v>
      </c>
      <c r="G13" s="57">
        <f>(B12*(1+$B$6)-1)*'Cadastro de Insumos'!$P$24</f>
        <v>0</v>
      </c>
      <c r="H13" s="57">
        <f>(B12*(1+$B$6)-1)*'Cadastro de Insumos'!$P$28</f>
        <v>0</v>
      </c>
      <c r="I13" s="57">
        <f>($B$6-(SUM(F13:H13)))*'Cadastro de Insumos'!$P$34</f>
        <v>3.2544</v>
      </c>
      <c r="J13" s="57">
        <f>($B$6-(SUM(F13:H13)))*'Cadastro de Insumos'!$P$38</f>
        <v>2.1696000000000004</v>
      </c>
      <c r="K13" s="57">
        <f>($B$6-(SUM(F13:H13)))*'Cadastro de Insumos'!$P$42</f>
        <v>0</v>
      </c>
      <c r="L13" s="57">
        <f>($B$6-(SUM(F13:H13)))*'Cadastro de Insumos'!$P$46</f>
        <v>0</v>
      </c>
      <c r="M13" s="56">
        <f>IF(C13=0,"",('Escopo de Estudo'!$D$30/SUM('Ficha de Dosagem - F'!I13:L13))*C13)</f>
        <v>3.6873156342182889</v>
      </c>
      <c r="N13" s="57" t="str">
        <f>IF(N10="","",('Escopo de Estudo'!$D$30/SUM('Ficha de Dosagem - F'!I13:L13))*D13)</f>
        <v/>
      </c>
      <c r="O13" s="58" t="str">
        <f>IF(O10="","",('Escopo de Estudo'!$D$30/SUM('Ficha de Dosagem - F'!I13:L13))*E13)</f>
        <v/>
      </c>
      <c r="P13" s="56">
        <f t="shared" ref="P13:P31" si="1">IF(F13=0,"",SUM(M13:O13)*F13)</f>
        <v>9.4985250737463112</v>
      </c>
      <c r="Q13" s="72" t="str">
        <f>IF($Q$10="","",SUM(M13:O13)*G13)</f>
        <v/>
      </c>
      <c r="R13" s="55" t="str">
        <f>IF($R$10="","",SUM(M13:O13)*H13)</f>
        <v/>
      </c>
      <c r="S13" s="56" t="str">
        <f>IF('Cadastro de Insumos'!$O$52=FALSE,"",IF('Cadastro de Insumos'!$P$52=FALSE,(('Cadastro de Insumos'!$E$54*M13)/'Cadastro de Insumos'!$L$54)*1000,(('Cadastro de Insumos'!$E$54*M13)*1000)))</f>
        <v/>
      </c>
      <c r="T13" s="57" t="str">
        <f>IF('Cadastro de Insumos'!$O$56=FALSE,"",IF('Cadastro de Insumos'!$P$56=FALSE,(('Cadastro de Insumos'!$E$58*M13)/'Cadastro de Insumos'!$L$58)*1000,(('Cadastro de Insumos'!$E$58*M13)*1000)))</f>
        <v/>
      </c>
      <c r="U13" s="57" t="str">
        <f>IF('Cadastro de Insumos'!$O$60=FALSE,"",IF('Cadastro de Insumos'!$P$60=FALSE,(('Cadastro de Insumos'!$E$62*M13)/'Cadastro de Insumos'!$L$62)*1000,(('Cadastro de Insumos'!$E$62*M13)*1000)))</f>
        <v/>
      </c>
      <c r="V13" s="58" t="str">
        <f>IF('Cadastro de Insumos'!$O$64=FALSE,"",IF('Cadastro de Insumos'!$P$64=FALSE,(('Cadastro de Insumos'!$E$66*M13)/'Cadastro de Insumos'!$L$66)*1000,(('Cadastro de Insumos'!$E$66*M13)*1000)))</f>
        <v/>
      </c>
      <c r="W13" s="56" t="str">
        <f>IF('Cadastro de Insumos'!$O$70=FALSE,"",IF('Cadastro de Insumos'!$P$70=FALSE,(('Cadastro de Insumos'!$E$72*M13)/'Cadastro de Insumos'!$L$72)*1000,(('Cadastro de Insumos'!$E$72*M13)*1000)))</f>
        <v/>
      </c>
      <c r="X13" s="57" t="str">
        <f>IF('Cadastro de Insumos'!$O$74=FALSE,"",IF('Cadastro de Insumos'!$P$74=FALSE,(('Cadastro de Insumos'!$E$76*M13)/'Cadastro de Insumos'!$L$76)*1000,(('Cadastro de Insumos'!$E$76*M13)*1000)))</f>
        <v/>
      </c>
      <c r="Y13" s="57" t="str">
        <f>IF('Cadastro de Insumos'!$O$78=FALSE,"",IF('Cadastro de Insumos'!$P$78=FALSE,(('Cadastro de Insumos'!$E$80*M13)/'Cadastro de Insumos'!$L$80)*1000,(('Cadastro de Insumos'!$E$80*M13)*1000)))</f>
        <v/>
      </c>
      <c r="Z13" s="58" t="str">
        <f>IF('Cadastro de Insumos'!$O$82=FALSE,"",IF('Cadastro de Insumos'!$P$82=FALSE,(('Cadastro de Insumos'!$E$84*M13)/'Cadastro de Insumos'!$L$84)*1000,(('Cadastro de Insumos'!$E$84*M13)*1000)))</f>
        <v/>
      </c>
    </row>
    <row r="14" spans="2:26">
      <c r="B14" s="252">
        <f>B12+0.01</f>
        <v>0.53</v>
      </c>
      <c r="C14" s="50"/>
      <c r="D14" s="50"/>
      <c r="E14" s="50"/>
      <c r="F14" s="63"/>
      <c r="G14" s="63"/>
      <c r="H14" s="63"/>
      <c r="I14" s="63"/>
      <c r="J14" s="63"/>
      <c r="K14" s="63"/>
      <c r="L14" s="63"/>
      <c r="M14" s="64" t="str">
        <f>IF(M15="","","+"&amp;ROUND(M15-M13,3))</f>
        <v>+0,043</v>
      </c>
      <c r="N14" s="65" t="str">
        <f>IF(N15="","","+"&amp;ROUND(N15-N13,3))</f>
        <v/>
      </c>
      <c r="O14" s="66" t="str">
        <f>IF(O15="","","+"&amp;ROUND(O15-O13,3))</f>
        <v/>
      </c>
      <c r="P14" s="64" t="str">
        <f t="shared" ref="P14:Z14" si="2">IF(P15="","","+"&amp;ROUND(P15-P13,3))</f>
        <v>+0,347</v>
      </c>
      <c r="Q14" s="65" t="str">
        <f t="shared" si="2"/>
        <v/>
      </c>
      <c r="R14" s="67" t="str">
        <f t="shared" si="2"/>
        <v/>
      </c>
      <c r="S14" s="64" t="str">
        <f t="shared" si="2"/>
        <v/>
      </c>
      <c r="T14" s="65" t="str">
        <f t="shared" si="2"/>
        <v/>
      </c>
      <c r="U14" s="65" t="str">
        <f t="shared" si="2"/>
        <v/>
      </c>
      <c r="V14" s="67" t="str">
        <f t="shared" si="2"/>
        <v/>
      </c>
      <c r="W14" s="64" t="str">
        <f t="shared" si="2"/>
        <v/>
      </c>
      <c r="X14" s="65" t="str">
        <f t="shared" si="2"/>
        <v/>
      </c>
      <c r="Y14" s="65" t="str">
        <f t="shared" si="2"/>
        <v/>
      </c>
      <c r="Z14" s="67" t="str">
        <f t="shared" si="2"/>
        <v/>
      </c>
    </row>
    <row r="15" spans="2:26" ht="16.5" thickBot="1">
      <c r="B15" s="253"/>
      <c r="C15" s="60">
        <f>1*'Cadastro de Insumos'!$P$6</f>
        <v>1</v>
      </c>
      <c r="D15" s="60">
        <f>1*'Cadastro de Insumos'!$P$10</f>
        <v>0</v>
      </c>
      <c r="E15" s="60">
        <f>1*'Cadastro de Insumos'!$P$14</f>
        <v>0</v>
      </c>
      <c r="F15" s="57">
        <f>(B14*(1+$B$6)-1)*'Cadastro de Insumos'!$P$20</f>
        <v>2.6390000000000002</v>
      </c>
      <c r="G15" s="57">
        <f>(B14*(1+$B$6)-1)*'Cadastro de Insumos'!$P$24</f>
        <v>0</v>
      </c>
      <c r="H15" s="57">
        <f>(B14*(1+$B$6)-1)*'Cadastro de Insumos'!$P$28</f>
        <v>0</v>
      </c>
      <c r="I15" s="57">
        <f>($B$6-(SUM(F15:H15)))*'Cadastro de Insumos'!$P$34</f>
        <v>3.2165999999999997</v>
      </c>
      <c r="J15" s="57">
        <f>($B$6-(SUM(F15:H15)))*'Cadastro de Insumos'!$P$38</f>
        <v>2.1444000000000001</v>
      </c>
      <c r="K15" s="57">
        <f>($B$6-(SUM(F15:H15)))*'Cadastro de Insumos'!$P$42</f>
        <v>0</v>
      </c>
      <c r="L15" s="57">
        <f>($B$6-(SUM(F15:H15)))*'Cadastro de Insumos'!$P$46</f>
        <v>0</v>
      </c>
      <c r="M15" s="56">
        <f>IF(C15=0,"",('Escopo de Estudo'!$D$30/SUM('Ficha de Dosagem - F'!I15:L15))*C15)</f>
        <v>3.7306472673008768</v>
      </c>
      <c r="N15" s="57" t="str">
        <f>IF(N11="","",('Escopo de Estudo'!$D$30/SUM('Ficha de Dosagem - F'!I15:L15))*D15)</f>
        <v/>
      </c>
      <c r="O15" s="58" t="str">
        <f>IF(O10="","",('Escopo de Estudo'!$D$30/SUM('Ficha de Dosagem - F'!I15:L15))*E15)</f>
        <v/>
      </c>
      <c r="P15" s="56">
        <f t="shared" si="1"/>
        <v>9.8451781384070145</v>
      </c>
      <c r="Q15" s="72" t="str">
        <f>IF($Q$10="","",SUM(M15:O15)*G15)</f>
        <v/>
      </c>
      <c r="R15" s="55" t="str">
        <f>IF($R$10="","",SUM(M15:O15)*H15)</f>
        <v/>
      </c>
      <c r="S15" s="56" t="str">
        <f>IF('Cadastro de Insumos'!$O$52=FALSE,"",IF('Cadastro de Insumos'!$P$52=FALSE,(('Cadastro de Insumos'!$E$54*M15)/'Cadastro de Insumos'!$L$54)*1000,(('Cadastro de Insumos'!$E$54*M15)*1000)))</f>
        <v/>
      </c>
      <c r="T15" s="57" t="str">
        <f>IF('Cadastro de Insumos'!$O$56=FALSE,"",IF('Cadastro de Insumos'!$P$56=FALSE,(('Cadastro de Insumos'!$E$58*M15)/'Cadastro de Insumos'!$L$58)*1000,(('Cadastro de Insumos'!$E$58*M15)*1000)))</f>
        <v/>
      </c>
      <c r="U15" s="57" t="str">
        <f>IF('Cadastro de Insumos'!$O$60=FALSE,"",IF('Cadastro de Insumos'!$P$60=FALSE,(('Cadastro de Insumos'!$E$62*M15)/'Cadastro de Insumos'!$L$62)*1000,(('Cadastro de Insumos'!$E$62*M15)*1000)))</f>
        <v/>
      </c>
      <c r="V15" s="58" t="str">
        <f>IF('Cadastro de Insumos'!$O$64=FALSE,"",IF('Cadastro de Insumos'!$P$64=FALSE,(('Cadastro de Insumos'!$E$66*M15)/'Cadastro de Insumos'!$L$66)*1000,(('Cadastro de Insumos'!$E$66*M15)*1000)))</f>
        <v/>
      </c>
      <c r="W15" s="56" t="str">
        <f>IF('Cadastro de Insumos'!$O$70=FALSE,"",IF('Cadastro de Insumos'!$P$70=FALSE,(('Cadastro de Insumos'!$E$72*M15)/'Cadastro de Insumos'!$L$72)*1000,(('Cadastro de Insumos'!$E$72*M15)*1000)))</f>
        <v/>
      </c>
      <c r="X15" s="57" t="str">
        <f>IF('Cadastro de Insumos'!$O$74=FALSE,"",IF('Cadastro de Insumos'!$P$74=FALSE,(('Cadastro de Insumos'!$E$76*M15)/'Cadastro de Insumos'!$L$76)*1000,(('Cadastro de Insumos'!$E$76*M15)*1000)))</f>
        <v/>
      </c>
      <c r="Y15" s="57" t="str">
        <f>IF('Cadastro de Insumos'!$O$78=FALSE,"",IF('Cadastro de Insumos'!$P$78=FALSE,(('Cadastro de Insumos'!$E$80*M15)/'Cadastro de Insumos'!$L$80)*1000,(('Cadastro de Insumos'!$E$80*M15)*1000)))</f>
        <v/>
      </c>
      <c r="Z15" s="58" t="str">
        <f>IF('Cadastro de Insumos'!$O$82=FALSE,"",IF('Cadastro de Insumos'!$P$82=FALSE,(('Cadastro de Insumos'!$E$84*M15)/'Cadastro de Insumos'!$L$84)*1000,(('Cadastro de Insumos'!$E$84*M15)*1000)))</f>
        <v/>
      </c>
    </row>
    <row r="16" spans="2:26">
      <c r="B16" s="252">
        <f>B14+0.01</f>
        <v>0.54</v>
      </c>
      <c r="C16" s="50"/>
      <c r="D16" s="50"/>
      <c r="E16" s="50"/>
      <c r="F16" s="63"/>
      <c r="G16" s="63"/>
      <c r="H16" s="63"/>
      <c r="I16" s="63"/>
      <c r="J16" s="63"/>
      <c r="K16" s="63"/>
      <c r="L16" s="63"/>
      <c r="M16" s="64" t="str">
        <f>IF(M17="","","+"&amp;ROUND(M17-M15,3))</f>
        <v>+0,044</v>
      </c>
      <c r="N16" s="65" t="str">
        <f>IF(N17="","","+"&amp;ROUND(N17-N15,3))</f>
        <v/>
      </c>
      <c r="O16" s="66" t="str">
        <f>IF(O17="","","+"&amp;ROUND(O17-O15,3))</f>
        <v/>
      </c>
      <c r="P16" s="64" t="str">
        <f t="shared" ref="P16:Z16" si="3">IF(P17="","","+"&amp;ROUND(P17-P15,3))</f>
        <v>+0,355</v>
      </c>
      <c r="Q16" s="65" t="str">
        <f t="shared" si="3"/>
        <v/>
      </c>
      <c r="R16" s="67" t="str">
        <f t="shared" si="3"/>
        <v/>
      </c>
      <c r="S16" s="64" t="str">
        <f t="shared" si="3"/>
        <v/>
      </c>
      <c r="T16" s="65" t="str">
        <f t="shared" si="3"/>
        <v/>
      </c>
      <c r="U16" s="65" t="str">
        <f t="shared" si="3"/>
        <v/>
      </c>
      <c r="V16" s="67" t="str">
        <f t="shared" si="3"/>
        <v/>
      </c>
      <c r="W16" s="64" t="str">
        <f t="shared" si="3"/>
        <v/>
      </c>
      <c r="X16" s="65" t="str">
        <f t="shared" si="3"/>
        <v/>
      </c>
      <c r="Y16" s="65" t="str">
        <f t="shared" si="3"/>
        <v/>
      </c>
      <c r="Z16" s="67" t="str">
        <f t="shared" si="3"/>
        <v/>
      </c>
    </row>
    <row r="17" spans="2:26" ht="16.5" thickBot="1">
      <c r="B17" s="253"/>
      <c r="C17" s="60">
        <f>1*'Cadastro de Insumos'!$P$6</f>
        <v>1</v>
      </c>
      <c r="D17" s="60">
        <f>1*'Cadastro de Insumos'!$P$10</f>
        <v>0</v>
      </c>
      <c r="E17" s="60">
        <f>1*'Cadastro de Insumos'!$P$14</f>
        <v>0</v>
      </c>
      <c r="F17" s="57">
        <f>(B16*(1+$B$6)-1)*'Cadastro de Insumos'!$P$20</f>
        <v>2.702</v>
      </c>
      <c r="G17" s="57">
        <f>(B16*(1+$B$6)-1)*'Cadastro de Insumos'!$P$24</f>
        <v>0</v>
      </c>
      <c r="H17" s="57">
        <f>(B16*(1+$B$6)-1)*'Cadastro de Insumos'!$P$28</f>
        <v>0</v>
      </c>
      <c r="I17" s="57">
        <f>($B$6-(SUM(F17:H17)))*'Cadastro de Insumos'!$P$34</f>
        <v>3.1787999999999998</v>
      </c>
      <c r="J17" s="57">
        <f>($B$6-(SUM(F17:H17)))*'Cadastro de Insumos'!$P$38</f>
        <v>2.1192000000000002</v>
      </c>
      <c r="K17" s="57">
        <f>($B$6-(SUM(F17:H17)))*'Cadastro de Insumos'!$P$42</f>
        <v>0</v>
      </c>
      <c r="L17" s="57">
        <f>($B$6-(SUM(F17:H17)))*'Cadastro de Insumos'!$P$46</f>
        <v>0</v>
      </c>
      <c r="M17" s="56">
        <f>IF(C17=0,"",('Escopo de Estudo'!$D$30/SUM('Ficha de Dosagem - F'!I17:L17))*C17)</f>
        <v>3.7750094375235936</v>
      </c>
      <c r="N17" s="57" t="str">
        <f>IF(N10="","",('Escopo de Estudo'!$D$30/SUM('Ficha de Dosagem - F'!I17:L17))*D17)</f>
        <v/>
      </c>
      <c r="O17" s="58" t="str">
        <f>IF(O10="","",('Escopo de Estudo'!$D$30/SUM('Ficha de Dosagem - F'!I17:L17))*E17)</f>
        <v/>
      </c>
      <c r="P17" s="56">
        <f t="shared" si="1"/>
        <v>10.200075500188749</v>
      </c>
      <c r="Q17" s="72" t="str">
        <f>IF($Q$10="","",SUM(M17:O17)*G17)</f>
        <v/>
      </c>
      <c r="R17" s="55" t="str">
        <f>IF($R$10="","",SUM(M17:O17)*H17)</f>
        <v/>
      </c>
      <c r="S17" s="56" t="str">
        <f>IF('Cadastro de Insumos'!$O$52=FALSE,"",IF('Cadastro de Insumos'!$P$52=FALSE,(('Cadastro de Insumos'!$E$54*M17)/'Cadastro de Insumos'!$L$54)*1000,(('Cadastro de Insumos'!$E$54*M17)*1000)))</f>
        <v/>
      </c>
      <c r="T17" s="57" t="str">
        <f>IF('Cadastro de Insumos'!$O$56=FALSE,"",IF('Cadastro de Insumos'!$P$56=FALSE,(('Cadastro de Insumos'!$E$58*M17)/'Cadastro de Insumos'!$L$58)*1000,(('Cadastro de Insumos'!$E$58*M17)*1000)))</f>
        <v/>
      </c>
      <c r="U17" s="57" t="str">
        <f>IF('Cadastro de Insumos'!$O$60=FALSE,"",IF('Cadastro de Insumos'!$P$60=FALSE,(('Cadastro de Insumos'!$E$62*M17)/'Cadastro de Insumos'!$L$62)*1000,(('Cadastro de Insumos'!$E$62*M17)*1000)))</f>
        <v/>
      </c>
      <c r="V17" s="58" t="str">
        <f>IF('Cadastro de Insumos'!$O$64=FALSE,"",IF('Cadastro de Insumos'!$P$64=FALSE,(('Cadastro de Insumos'!$E$66*M17)/'Cadastro de Insumos'!$L$66)*1000,(('Cadastro de Insumos'!$E$66*M17)*1000)))</f>
        <v/>
      </c>
      <c r="W17" s="56" t="str">
        <f>IF('Cadastro de Insumos'!$O$70=FALSE,"",IF('Cadastro de Insumos'!$P$70=FALSE,(('Cadastro de Insumos'!$E$72*M17)/'Cadastro de Insumos'!$L$72)*1000,(('Cadastro de Insumos'!$E$72*M17)*1000)))</f>
        <v/>
      </c>
      <c r="X17" s="57" t="str">
        <f>IF('Cadastro de Insumos'!$O$74=FALSE,"",IF('Cadastro de Insumos'!$P$74=FALSE,(('Cadastro de Insumos'!$E$76*M17)/'Cadastro de Insumos'!$L$76)*1000,(('Cadastro de Insumos'!$E$76*M17)*1000)))</f>
        <v/>
      </c>
      <c r="Y17" s="57" t="str">
        <f>IF('Cadastro de Insumos'!$O$78=FALSE,"",IF('Cadastro de Insumos'!$P$78=FALSE,(('Cadastro de Insumos'!$E$80*M17)/'Cadastro de Insumos'!$L$80)*1000,(('Cadastro de Insumos'!$E$80*M17)*1000)))</f>
        <v/>
      </c>
      <c r="Z17" s="58" t="str">
        <f>IF('Cadastro de Insumos'!$O$82=FALSE,"",IF('Cadastro de Insumos'!$P$82=FALSE,(('Cadastro de Insumos'!$E$84*M17)/'Cadastro de Insumos'!$L$84)*1000,(('Cadastro de Insumos'!$E$84*M17)*1000)))</f>
        <v/>
      </c>
    </row>
    <row r="18" spans="2:26">
      <c r="B18" s="252">
        <f>B16+0.01</f>
        <v>0.55000000000000004</v>
      </c>
      <c r="C18" s="50"/>
      <c r="D18" s="50"/>
      <c r="E18" s="50"/>
      <c r="F18" s="63"/>
      <c r="G18" s="63"/>
      <c r="H18" s="63"/>
      <c r="I18" s="63"/>
      <c r="J18" s="63"/>
      <c r="K18" s="63"/>
      <c r="L18" s="63"/>
      <c r="M18" s="64" t="str">
        <f>IF(M19="","","+"&amp;ROUND(M19-M17,3))</f>
        <v>+0,045</v>
      </c>
      <c r="N18" s="65" t="str">
        <f>IF(N19="","","+"&amp;ROUND(N19-N17,3))</f>
        <v/>
      </c>
      <c r="O18" s="66" t="str">
        <f>IF(O19="","","+"&amp;ROUND(O19-O17,3))</f>
        <v/>
      </c>
      <c r="P18" s="64" t="str">
        <f t="shared" ref="P18:Z18" si="4">IF(P19="","","+"&amp;ROUND(P19-P17,3))</f>
        <v>+0,363</v>
      </c>
      <c r="Q18" s="65" t="str">
        <f t="shared" si="4"/>
        <v/>
      </c>
      <c r="R18" s="67" t="str">
        <f t="shared" si="4"/>
        <v/>
      </c>
      <c r="S18" s="64" t="str">
        <f t="shared" si="4"/>
        <v/>
      </c>
      <c r="T18" s="65" t="str">
        <f t="shared" si="4"/>
        <v/>
      </c>
      <c r="U18" s="65" t="str">
        <f t="shared" si="4"/>
        <v/>
      </c>
      <c r="V18" s="67" t="str">
        <f t="shared" si="4"/>
        <v/>
      </c>
      <c r="W18" s="64" t="str">
        <f t="shared" si="4"/>
        <v/>
      </c>
      <c r="X18" s="65" t="str">
        <f t="shared" si="4"/>
        <v/>
      </c>
      <c r="Y18" s="65" t="str">
        <f t="shared" si="4"/>
        <v/>
      </c>
      <c r="Z18" s="67" t="str">
        <f t="shared" si="4"/>
        <v/>
      </c>
    </row>
    <row r="19" spans="2:26" ht="16.5" thickBot="1">
      <c r="B19" s="253"/>
      <c r="C19" s="60">
        <f>1*'Cadastro de Insumos'!$P$6</f>
        <v>1</v>
      </c>
      <c r="D19" s="60">
        <f>1*'Cadastro de Insumos'!$P$10</f>
        <v>0</v>
      </c>
      <c r="E19" s="60">
        <f>1*'Cadastro de Insumos'!$P$14</f>
        <v>0</v>
      </c>
      <c r="F19" s="57">
        <f>(B18*(1+$B$6)-1)*'Cadastro de Insumos'!$P$20</f>
        <v>2.7650000000000001</v>
      </c>
      <c r="G19" s="57">
        <f>(B18*(1+$B$6)-1)*'Cadastro de Insumos'!$P$24</f>
        <v>0</v>
      </c>
      <c r="H19" s="57">
        <f>(B18*(1+$B$6)-1)*'Cadastro de Insumos'!$P$28</f>
        <v>0</v>
      </c>
      <c r="I19" s="57">
        <f>($B$6-(SUM(F19:H19)))*'Cadastro de Insumos'!$P$34</f>
        <v>3.1409999999999996</v>
      </c>
      <c r="J19" s="57">
        <f>($B$6-(SUM(F19:H19)))*'Cadastro de Insumos'!$P$38</f>
        <v>2.0939999999999999</v>
      </c>
      <c r="K19" s="57">
        <f>($B$6-(SUM(F19:H19)))*'Cadastro de Insumos'!$P$42</f>
        <v>0</v>
      </c>
      <c r="L19" s="57">
        <f>($B$6-(SUM(F19:H19)))*'Cadastro de Insumos'!$P$46</f>
        <v>0</v>
      </c>
      <c r="M19" s="56">
        <f>IF(C19=0,"",('Escopo de Estudo'!$D$30/SUM('Ficha de Dosagem - F'!I19:L19))*C19)</f>
        <v>3.8204393505253109</v>
      </c>
      <c r="N19" s="57" t="str">
        <f>IF(N10="","",('Escopo de Estudo'!$D$30/SUM('Ficha de Dosagem - F'!I19:L19))*D19)</f>
        <v/>
      </c>
      <c r="O19" s="58" t="str">
        <f>IF(O10="","",('Escopo de Estudo'!$D$30/SUM('Ficha de Dosagem - F'!I19:L19))*E19)</f>
        <v/>
      </c>
      <c r="P19" s="56">
        <f t="shared" si="1"/>
        <v>10.563514804202486</v>
      </c>
      <c r="Q19" s="72" t="str">
        <f>IF($Q$10="","",SUM(M19:O19)*G19)</f>
        <v/>
      </c>
      <c r="R19" s="55" t="str">
        <f>IF($R$10="","",SUM(M19:O19)*H19)</f>
        <v/>
      </c>
      <c r="S19" s="56" t="str">
        <f>IF('Cadastro de Insumos'!$O$52=FALSE,"",IF('Cadastro de Insumos'!$P$52=FALSE,(('Cadastro de Insumos'!$E$54*M19)/'Cadastro de Insumos'!$L$54)*1000,(('Cadastro de Insumos'!$E$54*M19)*1000)))</f>
        <v/>
      </c>
      <c r="T19" s="57" t="str">
        <f>IF('Cadastro de Insumos'!$O$56=FALSE,"",IF('Cadastro de Insumos'!$P$56=FALSE,(('Cadastro de Insumos'!$E$58*M19)/'Cadastro de Insumos'!$L$58)*1000,(('Cadastro de Insumos'!$E$58*M19)*1000)))</f>
        <v/>
      </c>
      <c r="U19" s="57" t="str">
        <f>IF('Cadastro de Insumos'!$O$60=FALSE,"",IF('Cadastro de Insumos'!$P$60=FALSE,(('Cadastro de Insumos'!$E$62*M19)/'Cadastro de Insumos'!$L$62)*1000,(('Cadastro de Insumos'!$E$62*M19)*1000)))</f>
        <v/>
      </c>
      <c r="V19" s="58" t="str">
        <f>IF('Cadastro de Insumos'!$O$64=FALSE,"",IF('Cadastro de Insumos'!$P$64=FALSE,(('Cadastro de Insumos'!$E$66*M19)/'Cadastro de Insumos'!$L$66)*1000,(('Cadastro de Insumos'!$E$66*M19)*1000)))</f>
        <v/>
      </c>
      <c r="W19" s="56" t="str">
        <f>IF('Cadastro de Insumos'!$O$70=FALSE,"",IF('Cadastro de Insumos'!$P$70=FALSE,(('Cadastro de Insumos'!$E$72*M19)/'Cadastro de Insumos'!$L$72)*1000,(('Cadastro de Insumos'!$E$72*M19)*1000)))</f>
        <v/>
      </c>
      <c r="X19" s="57" t="str">
        <f>IF('Cadastro de Insumos'!$O$74=FALSE,"",IF('Cadastro de Insumos'!$P$74=FALSE,(('Cadastro de Insumos'!$E$76*M19)/'Cadastro de Insumos'!$L$76)*1000,(('Cadastro de Insumos'!$E$76*M19)*1000)))</f>
        <v/>
      </c>
      <c r="Y19" s="57" t="str">
        <f>IF('Cadastro de Insumos'!$O$78=FALSE,"",IF('Cadastro de Insumos'!$P$78=FALSE,(('Cadastro de Insumos'!$E$80*M19)/'Cadastro de Insumos'!$L$80)*1000,(('Cadastro de Insumos'!$E$80*M19)*1000)))</f>
        <v/>
      </c>
      <c r="Z19" s="58" t="str">
        <f>IF('Cadastro de Insumos'!$O$82=FALSE,"",IF('Cadastro de Insumos'!$P$82=FALSE,(('Cadastro de Insumos'!$E$84*M19)/'Cadastro de Insumos'!$L$84)*1000,(('Cadastro de Insumos'!$E$84*M19)*1000)))</f>
        <v/>
      </c>
    </row>
    <row r="20" spans="2:26">
      <c r="B20" s="252">
        <f>B18+0.01</f>
        <v>0.56000000000000005</v>
      </c>
      <c r="C20" s="50"/>
      <c r="D20" s="50"/>
      <c r="E20" s="50"/>
      <c r="F20" s="63"/>
      <c r="G20" s="63"/>
      <c r="H20" s="63"/>
      <c r="I20" s="63"/>
      <c r="J20" s="63"/>
      <c r="K20" s="63"/>
      <c r="L20" s="63"/>
      <c r="M20" s="64" t="str">
        <f>IF(M21="","","+"&amp;ROUND(M21-M19,3))</f>
        <v>+0,047</v>
      </c>
      <c r="N20" s="65" t="str">
        <f>IF(N21="","","+"&amp;ROUND(N21-N19,3))</f>
        <v/>
      </c>
      <c r="O20" s="66" t="str">
        <f>IF(O21="","","+"&amp;ROUND(O21-O19,3))</f>
        <v/>
      </c>
      <c r="P20" s="64" t="str">
        <f t="shared" ref="P20:Z20" si="5">IF(P21="","","+"&amp;ROUND(P21-P19,3))</f>
        <v>+0,372</v>
      </c>
      <c r="Q20" s="65" t="str">
        <f t="shared" si="5"/>
        <v/>
      </c>
      <c r="R20" s="67" t="str">
        <f t="shared" si="5"/>
        <v/>
      </c>
      <c r="S20" s="64" t="str">
        <f t="shared" si="5"/>
        <v/>
      </c>
      <c r="T20" s="65" t="str">
        <f t="shared" si="5"/>
        <v/>
      </c>
      <c r="U20" s="65" t="str">
        <f t="shared" si="5"/>
        <v/>
      </c>
      <c r="V20" s="67" t="str">
        <f t="shared" si="5"/>
        <v/>
      </c>
      <c r="W20" s="64" t="str">
        <f t="shared" si="5"/>
        <v/>
      </c>
      <c r="X20" s="65" t="str">
        <f t="shared" si="5"/>
        <v/>
      </c>
      <c r="Y20" s="65" t="str">
        <f t="shared" si="5"/>
        <v/>
      </c>
      <c r="Z20" s="67" t="str">
        <f t="shared" si="5"/>
        <v/>
      </c>
    </row>
    <row r="21" spans="2:26" ht="16.5" thickBot="1">
      <c r="B21" s="253"/>
      <c r="C21" s="60">
        <f>1*'Cadastro de Insumos'!$P$6</f>
        <v>1</v>
      </c>
      <c r="D21" s="60">
        <f>1*'Cadastro de Insumos'!$P$10</f>
        <v>0</v>
      </c>
      <c r="E21" s="60">
        <f>1*'Cadastro de Insumos'!$P$14</f>
        <v>0</v>
      </c>
      <c r="F21" s="57">
        <f>(B20*(1+$B$6)-1)*'Cadastro de Insumos'!$P$20</f>
        <v>2.8280000000000003</v>
      </c>
      <c r="G21" s="57">
        <f>(B20*(1+$B$6)-1)*'Cadastro de Insumos'!$P$24</f>
        <v>0</v>
      </c>
      <c r="H21" s="57">
        <f>(B20*(1+$B$6)-1)*'Cadastro de Insumos'!$P$28</f>
        <v>0</v>
      </c>
      <c r="I21" s="57">
        <f>($B$6-(SUM(F21:H21)))*'Cadastro de Insumos'!$P$34</f>
        <v>3.1031999999999997</v>
      </c>
      <c r="J21" s="57">
        <f>($B$6-(SUM(F21:H21)))*'Cadastro de Insumos'!$P$38</f>
        <v>2.0688</v>
      </c>
      <c r="K21" s="57">
        <f>($B$6-(SUM(F21:H21)))*'Cadastro de Insumos'!$P$42</f>
        <v>0</v>
      </c>
      <c r="L21" s="57">
        <f>($B$6-(SUM(F21:H21)))*'Cadastro de Insumos'!$P$46</f>
        <v>0</v>
      </c>
      <c r="M21" s="56">
        <f>IF(C21=0,"",('Escopo de Estudo'!$D$30/SUM('Ficha de Dosagem - F'!I21:L21))*C21)</f>
        <v>3.8669760247486469</v>
      </c>
      <c r="N21" s="57" t="str">
        <f>IF(N10="","",('Escopo de Estudo'!$D$30/SUM('Ficha de Dosagem - F'!I21:L21))*D21)</f>
        <v/>
      </c>
      <c r="O21" s="58" t="str">
        <f>IF(O10="","",('Escopo de Estudo'!$D$30/SUM('Ficha de Dosagem - F'!I21:L21))*E21)</f>
        <v/>
      </c>
      <c r="P21" s="56">
        <f t="shared" si="1"/>
        <v>10.935808197989175</v>
      </c>
      <c r="Q21" s="72" t="str">
        <f>IF($Q$10="","",SUM(M21:O21)*G21)</f>
        <v/>
      </c>
      <c r="R21" s="55" t="str">
        <f>IF($R$10="","",SUM(M21:O21)*H21)</f>
        <v/>
      </c>
      <c r="S21" s="56" t="str">
        <f>IF('Cadastro de Insumos'!$O$52=FALSE,"",IF('Cadastro de Insumos'!$P$52=FALSE,(('Cadastro de Insumos'!$E$54*M21)/'Cadastro de Insumos'!$L$54)*1000,(('Cadastro de Insumos'!$E$54*M21)*1000)))</f>
        <v/>
      </c>
      <c r="T21" s="57" t="str">
        <f>IF('Cadastro de Insumos'!$O$56=FALSE,"",IF('Cadastro de Insumos'!$P$56=FALSE,(('Cadastro de Insumos'!$E$58*M21)/'Cadastro de Insumos'!$L$58)*1000,(('Cadastro de Insumos'!$E$58*M21)*1000)))</f>
        <v/>
      </c>
      <c r="U21" s="57" t="str">
        <f>IF('Cadastro de Insumos'!$O$60=FALSE,"",IF('Cadastro de Insumos'!$P$60=FALSE,(('Cadastro de Insumos'!$E$62*M21)/'Cadastro de Insumos'!$L$62)*1000,(('Cadastro de Insumos'!$E$62*M21)*1000)))</f>
        <v/>
      </c>
      <c r="V21" s="58" t="str">
        <f>IF('Cadastro de Insumos'!$O$64=FALSE,"",IF('Cadastro de Insumos'!$P$64=FALSE,(('Cadastro de Insumos'!$E$66*M21)/'Cadastro de Insumos'!$L$66)*1000,(('Cadastro de Insumos'!$E$66*M21)*1000)))</f>
        <v/>
      </c>
      <c r="W21" s="56" t="str">
        <f>IF('Cadastro de Insumos'!$O$70=FALSE,"",IF('Cadastro de Insumos'!$P$70=FALSE,(('Cadastro de Insumos'!$E$72*M21)/'Cadastro de Insumos'!$L$72)*1000,(('Cadastro de Insumos'!$E$72*M21)*1000)))</f>
        <v/>
      </c>
      <c r="X21" s="57" t="str">
        <f>IF('Cadastro de Insumos'!$O$74=FALSE,"",IF('Cadastro de Insumos'!$P$74=FALSE,(('Cadastro de Insumos'!$E$76*M21)/'Cadastro de Insumos'!$L$76)*1000,(('Cadastro de Insumos'!$E$76*M21)*1000)))</f>
        <v/>
      </c>
      <c r="Y21" s="57" t="str">
        <f>IF('Cadastro de Insumos'!$O$78=FALSE,"",IF('Cadastro de Insumos'!$P$78=FALSE,(('Cadastro de Insumos'!$E$80*M21)/'Cadastro de Insumos'!$L$80)*1000,(('Cadastro de Insumos'!$E$80*M21)*1000)))</f>
        <v/>
      </c>
      <c r="Z21" s="58" t="str">
        <f>IF('Cadastro de Insumos'!$O$82=FALSE,"",IF('Cadastro de Insumos'!$P$82=FALSE,(('Cadastro de Insumos'!$E$84*M21)/'Cadastro de Insumos'!$L$84)*1000,(('Cadastro de Insumos'!$E$84*M21)*1000)))</f>
        <v/>
      </c>
    </row>
    <row r="22" spans="2:26">
      <c r="B22" s="252">
        <f>B20+0.01</f>
        <v>0.57000000000000006</v>
      </c>
      <c r="C22" s="50"/>
      <c r="D22" s="50"/>
      <c r="E22" s="50"/>
      <c r="F22" s="63"/>
      <c r="G22" s="63"/>
      <c r="H22" s="63"/>
      <c r="I22" s="63"/>
      <c r="J22" s="63"/>
      <c r="K22" s="63"/>
      <c r="L22" s="63"/>
      <c r="M22" s="64" t="str">
        <f>IF(M23="","","+"&amp;ROUND(M23-M21,3))</f>
        <v>+0,048</v>
      </c>
      <c r="N22" s="65" t="str">
        <f>IF(N23="","","+"&amp;ROUND(N23-N21,3))</f>
        <v/>
      </c>
      <c r="O22" s="66" t="str">
        <f>IF(O23="","","+"&amp;ROUND(O23-O21,3))</f>
        <v/>
      </c>
      <c r="P22" s="64" t="str">
        <f t="shared" ref="P22:Z22" si="6">IF(P23="","","+"&amp;ROUND(P23-P21,3))</f>
        <v>+0,381</v>
      </c>
      <c r="Q22" s="65" t="str">
        <f t="shared" si="6"/>
        <v/>
      </c>
      <c r="R22" s="67" t="str">
        <f t="shared" si="6"/>
        <v/>
      </c>
      <c r="S22" s="64" t="str">
        <f t="shared" si="6"/>
        <v/>
      </c>
      <c r="T22" s="65" t="str">
        <f t="shared" si="6"/>
        <v/>
      </c>
      <c r="U22" s="65" t="str">
        <f t="shared" si="6"/>
        <v/>
      </c>
      <c r="V22" s="67" t="str">
        <f t="shared" si="6"/>
        <v/>
      </c>
      <c r="W22" s="64" t="str">
        <f t="shared" si="6"/>
        <v/>
      </c>
      <c r="X22" s="65" t="str">
        <f t="shared" si="6"/>
        <v/>
      </c>
      <c r="Y22" s="65" t="str">
        <f t="shared" si="6"/>
        <v/>
      </c>
      <c r="Z22" s="67" t="str">
        <f t="shared" si="6"/>
        <v/>
      </c>
    </row>
    <row r="23" spans="2:26" ht="16.5" thickBot="1">
      <c r="B23" s="253"/>
      <c r="C23" s="60">
        <f>1*'Cadastro de Insumos'!$P$6</f>
        <v>1</v>
      </c>
      <c r="D23" s="60">
        <f>1*'Cadastro de Insumos'!$P$10</f>
        <v>0</v>
      </c>
      <c r="E23" s="60">
        <f>1*'Cadastro de Insumos'!$P$14</f>
        <v>0</v>
      </c>
      <c r="F23" s="57">
        <f>(B22*(1+$B$6)-1)*'Cadastro de Insumos'!$P$20</f>
        <v>2.8910000000000005</v>
      </c>
      <c r="G23" s="57">
        <f>(B22*(1+$B$6)-1)*'Cadastro de Insumos'!$P$24</f>
        <v>0</v>
      </c>
      <c r="H23" s="57">
        <f>(B22*(1+$B$6)-1)*'Cadastro de Insumos'!$P$28</f>
        <v>0</v>
      </c>
      <c r="I23" s="57">
        <f>($B$6-(SUM(F23:H23)))*'Cadastro de Insumos'!$P$34</f>
        <v>3.0653999999999999</v>
      </c>
      <c r="J23" s="57">
        <f>($B$6-(SUM(F23:H23)))*'Cadastro de Insumos'!$P$38</f>
        <v>2.0436000000000001</v>
      </c>
      <c r="K23" s="57">
        <f>($B$6-(SUM(F23:H23)))*'Cadastro de Insumos'!$P$42</f>
        <v>0</v>
      </c>
      <c r="L23" s="57">
        <f>($B$6-(SUM(F23:H23)))*'Cadastro de Insumos'!$P$46</f>
        <v>0</v>
      </c>
      <c r="M23" s="56">
        <f>IF(C23=0,"",('Escopo de Estudo'!$D$30/SUM('Ficha de Dosagem - F'!I23:L23))*C23)</f>
        <v>3.9146604032100214</v>
      </c>
      <c r="N23" s="57" t="str">
        <f>IF(N10="","",('Escopo de Estudo'!$D$30/SUM('Ficha de Dosagem - F'!I23:L23))*D23)</f>
        <v/>
      </c>
      <c r="O23" s="58" t="str">
        <f>IF(O10="","",('Escopo de Estudo'!$D$30/SUM('Ficha de Dosagem - F'!I23:L23))*E23)</f>
        <v/>
      </c>
      <c r="P23" s="56">
        <f t="shared" si="1"/>
        <v>11.317283225680173</v>
      </c>
      <c r="Q23" s="72" t="str">
        <f>IF($Q$10="","",SUM(M23:O23)*G23)</f>
        <v/>
      </c>
      <c r="R23" s="55" t="str">
        <f>IF($R$10="","",SUM(M23:O23)*H23)</f>
        <v/>
      </c>
      <c r="S23" s="56" t="str">
        <f>IF('Cadastro de Insumos'!$O$52=FALSE,"",IF('Cadastro de Insumos'!$P$52=FALSE,(('Cadastro de Insumos'!$E$54*M23)/'Cadastro de Insumos'!$L$54)*1000,(('Cadastro de Insumos'!$E$54*M23)*1000)))</f>
        <v/>
      </c>
      <c r="T23" s="57" t="str">
        <f>IF('Cadastro de Insumos'!$O$56=FALSE,"",IF('Cadastro de Insumos'!$P$56=FALSE,(('Cadastro de Insumos'!$E$58*M23)/'Cadastro de Insumos'!$L$58)*1000,(('Cadastro de Insumos'!$E$58*M23)*1000)))</f>
        <v/>
      </c>
      <c r="U23" s="57" t="str">
        <f>IF('Cadastro de Insumos'!$O$60=FALSE,"",IF('Cadastro de Insumos'!$P$60=FALSE,(('Cadastro de Insumos'!$E$62*M23)/'Cadastro de Insumos'!$L$62)*1000,(('Cadastro de Insumos'!$E$62*M23)*1000)))</f>
        <v/>
      </c>
      <c r="V23" s="58" t="str">
        <f>IF('Cadastro de Insumos'!$O$64=FALSE,"",IF('Cadastro de Insumos'!$P$64=FALSE,(('Cadastro de Insumos'!$E$66*M23)/'Cadastro de Insumos'!$L$66)*1000,(('Cadastro de Insumos'!$E$66*M23)*1000)))</f>
        <v/>
      </c>
      <c r="W23" s="56" t="str">
        <f>IF('Cadastro de Insumos'!$O$70=FALSE,"",IF('Cadastro de Insumos'!$P$70=FALSE,(('Cadastro de Insumos'!$E$72*M23)/'Cadastro de Insumos'!$L$72)*1000,(('Cadastro de Insumos'!$E$72*M23)*1000)))</f>
        <v/>
      </c>
      <c r="X23" s="57" t="str">
        <f>IF('Cadastro de Insumos'!$O$74=FALSE,"",IF('Cadastro de Insumos'!$P$74=FALSE,(('Cadastro de Insumos'!$E$76*M23)/'Cadastro de Insumos'!$L$76)*1000,(('Cadastro de Insumos'!$E$76*M23)*1000)))</f>
        <v/>
      </c>
      <c r="Y23" s="57" t="str">
        <f>IF('Cadastro de Insumos'!$O$78=FALSE,"",IF('Cadastro de Insumos'!$P$78=FALSE,(('Cadastro de Insumos'!$E$80*M23)/'Cadastro de Insumos'!$L$80)*1000,(('Cadastro de Insumos'!$E$80*M23)*1000)))</f>
        <v/>
      </c>
      <c r="Z23" s="58" t="str">
        <f>IF('Cadastro de Insumos'!$O$82=FALSE,"",IF('Cadastro de Insumos'!$P$82=FALSE,(('Cadastro de Insumos'!$E$84*M23)/'Cadastro de Insumos'!$L$84)*1000,(('Cadastro de Insumos'!$E$84*M23)*1000)))</f>
        <v/>
      </c>
    </row>
    <row r="24" spans="2:26">
      <c r="B24" s="252">
        <f>B22+0.01</f>
        <v>0.58000000000000007</v>
      </c>
      <c r="C24" s="50"/>
      <c r="D24" s="50"/>
      <c r="E24" s="50"/>
      <c r="F24" s="63"/>
      <c r="G24" s="63"/>
      <c r="H24" s="63"/>
      <c r="I24" s="63"/>
      <c r="J24" s="63"/>
      <c r="K24" s="63"/>
      <c r="L24" s="63"/>
      <c r="M24" s="64" t="str">
        <f>IF(M25="","","+"&amp;ROUND(M25-M23,3))</f>
        <v>+0,049</v>
      </c>
      <c r="N24" s="65" t="str">
        <f>IF(N25="","","+"&amp;ROUND(N25-N23,3))</f>
        <v/>
      </c>
      <c r="O24" s="66" t="str">
        <f>IF(O25="","","+"&amp;ROUND(O25-O23,3))</f>
        <v/>
      </c>
      <c r="P24" s="64" t="str">
        <f t="shared" ref="P24:Z24" si="7">IF(P25="","","+"&amp;ROUND(P25-P23,3))</f>
        <v>+0,391</v>
      </c>
      <c r="Q24" s="65" t="str">
        <f t="shared" si="7"/>
        <v/>
      </c>
      <c r="R24" s="67" t="str">
        <f t="shared" si="7"/>
        <v/>
      </c>
      <c r="S24" s="64" t="str">
        <f t="shared" si="7"/>
        <v/>
      </c>
      <c r="T24" s="65" t="str">
        <f t="shared" si="7"/>
        <v/>
      </c>
      <c r="U24" s="65" t="str">
        <f t="shared" si="7"/>
        <v/>
      </c>
      <c r="V24" s="67" t="str">
        <f t="shared" si="7"/>
        <v/>
      </c>
      <c r="W24" s="64" t="str">
        <f t="shared" si="7"/>
        <v/>
      </c>
      <c r="X24" s="65" t="str">
        <f t="shared" si="7"/>
        <v/>
      </c>
      <c r="Y24" s="65" t="str">
        <f t="shared" si="7"/>
        <v/>
      </c>
      <c r="Z24" s="67" t="str">
        <f t="shared" si="7"/>
        <v/>
      </c>
    </row>
    <row r="25" spans="2:26" ht="16.5" thickBot="1">
      <c r="B25" s="253"/>
      <c r="C25" s="60">
        <f>1*'Cadastro de Insumos'!$P$6</f>
        <v>1</v>
      </c>
      <c r="D25" s="60">
        <f>1*'Cadastro de Insumos'!$P$10</f>
        <v>0</v>
      </c>
      <c r="E25" s="60">
        <f>1*'Cadastro de Insumos'!$P$14</f>
        <v>0</v>
      </c>
      <c r="F25" s="57">
        <f>(B24*(1+$B$6)-1)*'Cadastro de Insumos'!$P$20</f>
        <v>2.9540000000000002</v>
      </c>
      <c r="G25" s="57">
        <f>(B24*(1+$B$6)-1)*'Cadastro de Insumos'!$P$24</f>
        <v>0</v>
      </c>
      <c r="H25" s="57">
        <f>(B24*(1+$B$6)-1)*'Cadastro de Insumos'!$P$28</f>
        <v>0</v>
      </c>
      <c r="I25" s="57">
        <f>($B$6-(SUM(F25:H25)))*'Cadastro de Insumos'!$P$34</f>
        <v>3.0275999999999996</v>
      </c>
      <c r="J25" s="57">
        <f>($B$6-(SUM(F25:H25)))*'Cadastro de Insumos'!$P$38</f>
        <v>2.0183999999999997</v>
      </c>
      <c r="K25" s="57">
        <f>($B$6-(SUM(F25:H25)))*'Cadastro de Insumos'!$P$42</f>
        <v>0</v>
      </c>
      <c r="L25" s="57">
        <f>($B$6-(SUM(F25:H25)))*'Cadastro de Insumos'!$P$46</f>
        <v>0</v>
      </c>
      <c r="M25" s="56">
        <f>IF(C25=0,"",('Escopo de Estudo'!$D$30/SUM('Ficha de Dosagem - F'!I25:L25))*C25)</f>
        <v>3.9635354736424895</v>
      </c>
      <c r="N25" s="57" t="str">
        <f>IF(N10="","",('Escopo de Estudo'!$D$30/SUM('Ficha de Dosagem - F'!I25:L25))*D25)</f>
        <v/>
      </c>
      <c r="O25" s="58" t="str">
        <f>IF(O10="","",('Escopo de Estudo'!$D$30/SUM('Ficha de Dosagem - F'!I25:L25))*E25)</f>
        <v/>
      </c>
      <c r="P25" s="56">
        <f t="shared" si="1"/>
        <v>11.708283789139914</v>
      </c>
      <c r="Q25" s="72" t="str">
        <f>IF($Q$10="","",SUM(M25:O25)*G25)</f>
        <v/>
      </c>
      <c r="R25" s="55" t="str">
        <f>IF($R$10="","",SUM(M25:O25)*H25)</f>
        <v/>
      </c>
      <c r="S25" s="56" t="str">
        <f>IF('Cadastro de Insumos'!$O$52=FALSE,"",IF('Cadastro de Insumos'!$P$52=FALSE,(('Cadastro de Insumos'!$E$54*M25)/'Cadastro de Insumos'!$L$54)*1000,(('Cadastro de Insumos'!$E$54*M25)*1000)))</f>
        <v/>
      </c>
      <c r="T25" s="57" t="str">
        <f>IF('Cadastro de Insumos'!$O$56=FALSE,"",IF('Cadastro de Insumos'!$P$56=FALSE,(('Cadastro de Insumos'!$E$58*M25)/'Cadastro de Insumos'!$L$58)*1000,(('Cadastro de Insumos'!$E$58*M25)*1000)))</f>
        <v/>
      </c>
      <c r="U25" s="57" t="str">
        <f>IF('Cadastro de Insumos'!$O$60=FALSE,"",IF('Cadastro de Insumos'!$P$60=FALSE,(('Cadastro de Insumos'!$E$62*M25)/'Cadastro de Insumos'!$L$62)*1000,(('Cadastro de Insumos'!$E$62*M25)*1000)))</f>
        <v/>
      </c>
      <c r="V25" s="58" t="str">
        <f>IF('Cadastro de Insumos'!$O$64=FALSE,"",IF('Cadastro de Insumos'!$P$64=FALSE,(('Cadastro de Insumos'!$E$66*M25)/'Cadastro de Insumos'!$L$66)*1000,(('Cadastro de Insumos'!$E$66*M25)*1000)))</f>
        <v/>
      </c>
      <c r="W25" s="56" t="str">
        <f>IF('Cadastro de Insumos'!$O$70=FALSE,"",IF('Cadastro de Insumos'!$P$70=FALSE,(('Cadastro de Insumos'!$E$72*M25)/'Cadastro de Insumos'!$L$72)*1000,(('Cadastro de Insumos'!$E$72*M25)*1000)))</f>
        <v/>
      </c>
      <c r="X25" s="57" t="str">
        <f>IF('Cadastro de Insumos'!$O$74=FALSE,"",IF('Cadastro de Insumos'!$P$74=FALSE,(('Cadastro de Insumos'!$E$76*M25)/'Cadastro de Insumos'!$L$76)*1000,(('Cadastro de Insumos'!$E$76*M25)*1000)))</f>
        <v/>
      </c>
      <c r="Y25" s="57" t="str">
        <f>IF('Cadastro de Insumos'!$O$78=FALSE,"",IF('Cadastro de Insumos'!$P$78=FALSE,(('Cadastro de Insumos'!$E$80*M25)/'Cadastro de Insumos'!$L$80)*1000,(('Cadastro de Insumos'!$E$80*M25)*1000)))</f>
        <v/>
      </c>
      <c r="Z25" s="58" t="str">
        <f>IF('Cadastro de Insumos'!$O$82=FALSE,"",IF('Cadastro de Insumos'!$P$82=FALSE,(('Cadastro de Insumos'!$E$84*M25)/'Cadastro de Insumos'!$L$84)*1000,(('Cadastro de Insumos'!$E$84*M25)*1000)))</f>
        <v/>
      </c>
    </row>
    <row r="26" spans="2:26">
      <c r="B26" s="252">
        <f>B24+0.01</f>
        <v>0.59000000000000008</v>
      </c>
      <c r="C26" s="50"/>
      <c r="D26" s="50"/>
      <c r="E26" s="50"/>
      <c r="F26" s="63"/>
      <c r="G26" s="63"/>
      <c r="H26" s="63"/>
      <c r="I26" s="63"/>
      <c r="J26" s="63"/>
      <c r="K26" s="63"/>
      <c r="L26" s="63"/>
      <c r="M26" s="64" t="str">
        <f>IF(M27="","","+"&amp;ROUND(M27-M25,3))</f>
        <v>+0,05</v>
      </c>
      <c r="N26" s="65" t="str">
        <f>IF(N27="","","+"&amp;ROUND(N27-N25,3))</f>
        <v/>
      </c>
      <c r="O26" s="66" t="str">
        <f>IF(O27="","","+"&amp;ROUND(O27-O25,3))</f>
        <v/>
      </c>
      <c r="P26" s="64" t="str">
        <f t="shared" ref="P26:Z26" si="8">IF(P27="","","+"&amp;ROUND(P27-P25,3))</f>
        <v>+0,401</v>
      </c>
      <c r="Q26" s="65" t="str">
        <f t="shared" si="8"/>
        <v/>
      </c>
      <c r="R26" s="67" t="str">
        <f t="shared" si="8"/>
        <v/>
      </c>
      <c r="S26" s="64" t="str">
        <f t="shared" si="8"/>
        <v/>
      </c>
      <c r="T26" s="65" t="str">
        <f t="shared" si="8"/>
        <v/>
      </c>
      <c r="U26" s="65" t="str">
        <f t="shared" si="8"/>
        <v/>
      </c>
      <c r="V26" s="67" t="str">
        <f t="shared" si="8"/>
        <v/>
      </c>
      <c r="W26" s="64" t="str">
        <f t="shared" si="8"/>
        <v/>
      </c>
      <c r="X26" s="65" t="str">
        <f t="shared" si="8"/>
        <v/>
      </c>
      <c r="Y26" s="65" t="str">
        <f t="shared" si="8"/>
        <v/>
      </c>
      <c r="Z26" s="67" t="str">
        <f t="shared" si="8"/>
        <v/>
      </c>
    </row>
    <row r="27" spans="2:26" ht="16.5" thickBot="1">
      <c r="B27" s="253"/>
      <c r="C27" s="60">
        <f>1*'Cadastro de Insumos'!$P$6</f>
        <v>1</v>
      </c>
      <c r="D27" s="60">
        <f>1*'Cadastro de Insumos'!$P$10</f>
        <v>0</v>
      </c>
      <c r="E27" s="60">
        <f>1*'Cadastro de Insumos'!$P$14</f>
        <v>0</v>
      </c>
      <c r="F27" s="57">
        <f>(B26*(1+$B$6)-1)*'Cadastro de Insumos'!$P$20</f>
        <v>3.0170000000000003</v>
      </c>
      <c r="G27" s="57">
        <f>(B26*(1+$B$6)-1)*'Cadastro de Insumos'!$P$24</f>
        <v>0</v>
      </c>
      <c r="H27" s="57">
        <f>(B26*(1+$B$6)-1)*'Cadastro de Insumos'!$P$28</f>
        <v>0</v>
      </c>
      <c r="I27" s="57">
        <f>($B$6-(SUM(F27:H27)))*'Cadastro de Insumos'!$P$34</f>
        <v>2.9897999999999998</v>
      </c>
      <c r="J27" s="57">
        <f>($B$6-(SUM(F27:H27)))*'Cadastro de Insumos'!$P$38</f>
        <v>1.9931999999999999</v>
      </c>
      <c r="K27" s="57">
        <f>($B$6-(SUM(F27:H27)))*'Cadastro de Insumos'!$P$42</f>
        <v>0</v>
      </c>
      <c r="L27" s="57">
        <f>($B$6-(SUM(F27:H27)))*'Cadastro de Insumos'!$P$46</f>
        <v>0</v>
      </c>
      <c r="M27" s="56">
        <f>IF(C27=0,"",('Escopo de Estudo'!$D$30/SUM('Ficha de Dosagem - F'!I27:L27))*C27)</f>
        <v>4.0136463977523587</v>
      </c>
      <c r="N27" s="57" t="str">
        <f>IF(N10="","",('Escopo de Estudo'!$D$30/SUM('Ficha de Dosagem - F'!I27:L27))*D27)</f>
        <v/>
      </c>
      <c r="O27" s="58" t="str">
        <f>IF(O10="","",('Escopo de Estudo'!$D$30/SUM('Ficha de Dosagem - F'!I27:L27))*E27)</f>
        <v/>
      </c>
      <c r="P27" s="56">
        <f t="shared" si="1"/>
        <v>12.109171182018867</v>
      </c>
      <c r="Q27" s="72" t="str">
        <f>IF($Q$10="","",SUM(M27:O27)*G27)</f>
        <v/>
      </c>
      <c r="R27" s="55" t="str">
        <f>IF($R$10="","",SUM(M27:O27)*H27)</f>
        <v/>
      </c>
      <c r="S27" s="56" t="str">
        <f>IF('Cadastro de Insumos'!$O$52=FALSE,"",IF('Cadastro de Insumos'!$P$52=FALSE,(('Cadastro de Insumos'!$E$54*M27)/'Cadastro de Insumos'!$L$54)*1000,(('Cadastro de Insumos'!$E$54*M27)*1000)))</f>
        <v/>
      </c>
      <c r="T27" s="57" t="str">
        <f>IF('Cadastro de Insumos'!$O$56=FALSE,"",IF('Cadastro de Insumos'!$P$56=FALSE,(('Cadastro de Insumos'!$E$58*M27)/'Cadastro de Insumos'!$L$58)*1000,(('Cadastro de Insumos'!$E$58*M27)*1000)))</f>
        <v/>
      </c>
      <c r="U27" s="57" t="str">
        <f>IF('Cadastro de Insumos'!$O$60=FALSE,"",IF('Cadastro de Insumos'!$P$60=FALSE,(('Cadastro de Insumos'!$E$62*M27)/'Cadastro de Insumos'!$L$62)*1000,(('Cadastro de Insumos'!$E$62*M27)*1000)))</f>
        <v/>
      </c>
      <c r="V27" s="58" t="str">
        <f>IF('Cadastro de Insumos'!$O$64=FALSE,"",IF('Cadastro de Insumos'!$P$64=FALSE,(('Cadastro de Insumos'!$E$66*M27)/'Cadastro de Insumos'!$L$66)*1000,(('Cadastro de Insumos'!$E$66*M27)*1000)))</f>
        <v/>
      </c>
      <c r="W27" s="56" t="str">
        <f>IF('Cadastro de Insumos'!$O$70=FALSE,"",IF('Cadastro de Insumos'!$P$70=FALSE,(('Cadastro de Insumos'!$E$72*M27)/'Cadastro de Insumos'!$L$72)*1000,(('Cadastro de Insumos'!$E$72*M27)*1000)))</f>
        <v/>
      </c>
      <c r="X27" s="57" t="str">
        <f>IF('Cadastro de Insumos'!$O$74=FALSE,"",IF('Cadastro de Insumos'!$P$74=FALSE,(('Cadastro de Insumos'!$E$76*M27)/'Cadastro de Insumos'!$L$76)*1000,(('Cadastro de Insumos'!$E$76*M27)*1000)))</f>
        <v/>
      </c>
      <c r="Y27" s="57" t="str">
        <f>IF('Cadastro de Insumos'!$O$78=FALSE,"",IF('Cadastro de Insumos'!$P$78=FALSE,(('Cadastro de Insumos'!$E$80*M27)/'Cadastro de Insumos'!$L$80)*1000,(('Cadastro de Insumos'!$E$80*M27)*1000)))</f>
        <v/>
      </c>
      <c r="Z27" s="58" t="str">
        <f>IF('Cadastro de Insumos'!$O$82=FALSE,"",IF('Cadastro de Insumos'!$P$82=FALSE,(('Cadastro de Insumos'!$E$84*M27)/'Cadastro de Insumos'!$L$84)*1000,(('Cadastro de Insumos'!$E$84*M27)*1000)))</f>
        <v/>
      </c>
    </row>
    <row r="28" spans="2:26">
      <c r="B28" s="252">
        <f>B26+0.01</f>
        <v>0.60000000000000009</v>
      </c>
      <c r="C28" s="50"/>
      <c r="D28" s="50"/>
      <c r="E28" s="50"/>
      <c r="F28" s="63"/>
      <c r="G28" s="63"/>
      <c r="H28" s="63"/>
      <c r="I28" s="63"/>
      <c r="J28" s="63"/>
      <c r="K28" s="63"/>
      <c r="L28" s="63"/>
      <c r="M28" s="64" t="str">
        <f>IF(M29="","","+"&amp;ROUND(M29-M27,3))</f>
        <v>+0,051</v>
      </c>
      <c r="N28" s="65" t="str">
        <f>IF(N29="","","+"&amp;ROUND(N29-N27,3))</f>
        <v/>
      </c>
      <c r="O28" s="66" t="str">
        <f>IF(O29="","","+"&amp;ROUND(O29-O27,3))</f>
        <v/>
      </c>
      <c r="P28" s="64" t="str">
        <f t="shared" ref="P28:Z28" si="9">IF(P29="","","+"&amp;ROUND(P29-P27,3))</f>
        <v>+0,411</v>
      </c>
      <c r="Q28" s="65" t="str">
        <f t="shared" si="9"/>
        <v/>
      </c>
      <c r="R28" s="67" t="str">
        <f t="shared" si="9"/>
        <v/>
      </c>
      <c r="S28" s="64" t="str">
        <f t="shared" si="9"/>
        <v/>
      </c>
      <c r="T28" s="65" t="str">
        <f t="shared" si="9"/>
        <v/>
      </c>
      <c r="U28" s="65" t="str">
        <f t="shared" si="9"/>
        <v/>
      </c>
      <c r="V28" s="67" t="str">
        <f t="shared" si="9"/>
        <v/>
      </c>
      <c r="W28" s="64" t="str">
        <f t="shared" si="9"/>
        <v/>
      </c>
      <c r="X28" s="65" t="str">
        <f t="shared" si="9"/>
        <v/>
      </c>
      <c r="Y28" s="65" t="str">
        <f t="shared" si="9"/>
        <v/>
      </c>
      <c r="Z28" s="67" t="str">
        <f t="shared" si="9"/>
        <v/>
      </c>
    </row>
    <row r="29" spans="2:26" ht="16.5" thickBot="1">
      <c r="B29" s="253"/>
      <c r="C29" s="60">
        <f>1*'Cadastro de Insumos'!$P$6</f>
        <v>1</v>
      </c>
      <c r="D29" s="60">
        <f>1*'Cadastro de Insumos'!$P$10</f>
        <v>0</v>
      </c>
      <c r="E29" s="60">
        <f>1*'Cadastro de Insumos'!$P$14</f>
        <v>0</v>
      </c>
      <c r="F29" s="57">
        <f>(B28*(1+$B$6)-1)*'Cadastro de Insumos'!$P$20</f>
        <v>3.08</v>
      </c>
      <c r="G29" s="57">
        <f>(B28*(1+$B$6)-1)*'Cadastro de Insumos'!$P$24</f>
        <v>0</v>
      </c>
      <c r="H29" s="57">
        <f>(B28*(1+$B$6)-1)*'Cadastro de Insumos'!$P$28</f>
        <v>0</v>
      </c>
      <c r="I29" s="57">
        <f>($B$6-(SUM(F29:H29)))*'Cadastro de Insumos'!$P$34</f>
        <v>2.952</v>
      </c>
      <c r="J29" s="57">
        <f>($B$6-(SUM(F29:H29)))*'Cadastro de Insumos'!$P$38</f>
        <v>1.968</v>
      </c>
      <c r="K29" s="57">
        <f>($B$6-(SUM(F29:H29)))*'Cadastro de Insumos'!$P$42</f>
        <v>0</v>
      </c>
      <c r="L29" s="57">
        <f>($B$6-(SUM(F29:H29)))*'Cadastro de Insumos'!$P$46</f>
        <v>0</v>
      </c>
      <c r="M29" s="56">
        <f>IF(C29=0,"",('Escopo de Estudo'!$D$30/SUM('Ficha de Dosagem - F'!I29:L29))*C29)</f>
        <v>4.0650406504065044</v>
      </c>
      <c r="N29" s="57" t="str">
        <f>IF(N10="","",('Escopo de Estudo'!$D$30/SUM('Ficha de Dosagem - F'!I29:L29))*D29)</f>
        <v/>
      </c>
      <c r="O29" s="58" t="str">
        <f>IF(O10="","",('Escopo de Estudo'!$D$30/SUM('Ficha de Dosagem - F'!I29:L29))*E29)</f>
        <v/>
      </c>
      <c r="P29" s="56">
        <f t="shared" si="1"/>
        <v>12.520325203252034</v>
      </c>
      <c r="Q29" s="72" t="str">
        <f>IF($Q$10="","",SUM(M29:O29)*G29)</f>
        <v/>
      </c>
      <c r="R29" s="55" t="str">
        <f>IF($R$10="","",SUM(M29:O29)*H29)</f>
        <v/>
      </c>
      <c r="S29" s="56" t="str">
        <f>IF('Cadastro de Insumos'!$O$52=FALSE,"",IF('Cadastro de Insumos'!$P$52=FALSE,(('Cadastro de Insumos'!$E$54*M29)/'Cadastro de Insumos'!$L$54)*1000,(('Cadastro de Insumos'!$E$54*M29)*1000)))</f>
        <v/>
      </c>
      <c r="T29" s="57" t="str">
        <f>IF('Cadastro de Insumos'!$O$56=FALSE,"",IF('Cadastro de Insumos'!$P$56=FALSE,(('Cadastro de Insumos'!$E$58*M29)/'Cadastro de Insumos'!$L$58)*1000,(('Cadastro de Insumos'!$E$58*M29)*1000)))</f>
        <v/>
      </c>
      <c r="U29" s="57" t="str">
        <f>IF('Cadastro de Insumos'!$O$60=FALSE,"",IF('Cadastro de Insumos'!$P$60=FALSE,(('Cadastro de Insumos'!$E$62*M29)/'Cadastro de Insumos'!$L$62)*1000,(('Cadastro de Insumos'!$E$62*M29)*1000)))</f>
        <v/>
      </c>
      <c r="V29" s="58" t="str">
        <f>IF('Cadastro de Insumos'!$O$64=FALSE,"",IF('Cadastro de Insumos'!$P$64=FALSE,(('Cadastro de Insumos'!$E$66*M29)/'Cadastro de Insumos'!$L$66)*1000,(('Cadastro de Insumos'!$E$66*M29)*1000)))</f>
        <v/>
      </c>
      <c r="W29" s="56" t="str">
        <f>IF('Cadastro de Insumos'!$O$70=FALSE,"",IF('Cadastro de Insumos'!$P$70=FALSE,(('Cadastro de Insumos'!$E$72*M29)/'Cadastro de Insumos'!$L$72)*1000,(('Cadastro de Insumos'!$E$72*M29)*1000)))</f>
        <v/>
      </c>
      <c r="X29" s="57" t="str">
        <f>IF('Cadastro de Insumos'!$O$74=FALSE,"",IF('Cadastro de Insumos'!$P$74=FALSE,(('Cadastro de Insumos'!$E$76*M29)/'Cadastro de Insumos'!$L$76)*1000,(('Cadastro de Insumos'!$E$76*M29)*1000)))</f>
        <v/>
      </c>
      <c r="Y29" s="57" t="str">
        <f>IF('Cadastro de Insumos'!$O$78=FALSE,"",IF('Cadastro de Insumos'!$P$78=FALSE,(('Cadastro de Insumos'!$E$80*M29)/'Cadastro de Insumos'!$L$80)*1000,(('Cadastro de Insumos'!$E$80*M29)*1000)))</f>
        <v/>
      </c>
      <c r="Z29" s="58" t="str">
        <f>IF('Cadastro de Insumos'!$O$82=FALSE,"",IF('Cadastro de Insumos'!$P$82=FALSE,(('Cadastro de Insumos'!$E$84*M29)/'Cadastro de Insumos'!$L$84)*1000,(('Cadastro de Insumos'!$E$84*M29)*1000)))</f>
        <v/>
      </c>
    </row>
    <row r="30" spans="2:26">
      <c r="B30" s="252">
        <f>B28+0.01</f>
        <v>0.6100000000000001</v>
      </c>
      <c r="C30" s="50"/>
      <c r="D30" s="50"/>
      <c r="E30" s="50"/>
      <c r="F30" s="63"/>
      <c r="G30" s="63"/>
      <c r="H30" s="63"/>
      <c r="I30" s="63"/>
      <c r="J30" s="63"/>
      <c r="K30" s="63"/>
      <c r="L30" s="63"/>
      <c r="M30" s="64" t="str">
        <f>IF(M31="","","+"&amp;ROUND(M31-M29,3))</f>
        <v>+0,053</v>
      </c>
      <c r="N30" s="65" t="str">
        <f>IF(N31="","","+"&amp;ROUND(N31-N29,3))</f>
        <v/>
      </c>
      <c r="O30" s="66" t="str">
        <f>IF(O31="","","+"&amp;ROUND(O31-O29,3))</f>
        <v/>
      </c>
      <c r="P30" s="64" t="str">
        <f t="shared" ref="P30:Z30" si="10">IF(P31="","","+"&amp;ROUND(P31-P29,3))</f>
        <v>+0,422</v>
      </c>
      <c r="Q30" s="65" t="str">
        <f t="shared" si="10"/>
        <v/>
      </c>
      <c r="R30" s="67" t="str">
        <f t="shared" si="10"/>
        <v/>
      </c>
      <c r="S30" s="64" t="str">
        <f t="shared" si="10"/>
        <v/>
      </c>
      <c r="T30" s="65" t="str">
        <f t="shared" si="10"/>
        <v/>
      </c>
      <c r="U30" s="65" t="str">
        <f t="shared" si="10"/>
        <v/>
      </c>
      <c r="V30" s="67" t="str">
        <f t="shared" si="10"/>
        <v/>
      </c>
      <c r="W30" s="64" t="str">
        <f t="shared" si="10"/>
        <v/>
      </c>
      <c r="X30" s="65" t="str">
        <f t="shared" si="10"/>
        <v/>
      </c>
      <c r="Y30" s="65" t="str">
        <f t="shared" si="10"/>
        <v/>
      </c>
      <c r="Z30" s="67" t="str">
        <f t="shared" si="10"/>
        <v/>
      </c>
    </row>
    <row r="31" spans="2:26" ht="16.5" thickBot="1">
      <c r="B31" s="253"/>
      <c r="C31" s="60">
        <f>1*'Cadastro de Insumos'!$P$6</f>
        <v>1</v>
      </c>
      <c r="D31" s="60">
        <f>1*'Cadastro de Insumos'!$P$10</f>
        <v>0</v>
      </c>
      <c r="E31" s="60">
        <f>1*'Cadastro de Insumos'!$P$14</f>
        <v>0</v>
      </c>
      <c r="F31" s="57">
        <f>(B30*(1+$B$6)-1)*'Cadastro de Insumos'!$P$20</f>
        <v>3.1430000000000007</v>
      </c>
      <c r="G31" s="57">
        <f>(B30*(1+$B$6)-1)*'Cadastro de Insumos'!$P$24</f>
        <v>0</v>
      </c>
      <c r="H31" s="57">
        <f>(B30*(1+$B$6)-1)*'Cadastro de Insumos'!$P$28</f>
        <v>0</v>
      </c>
      <c r="I31" s="57">
        <f>($B$6-(SUM(F31:H31)))*'Cadastro de Insumos'!$P$34</f>
        <v>2.9141999999999997</v>
      </c>
      <c r="J31" s="57">
        <f>($B$6-(SUM(F31:H31)))*'Cadastro de Insumos'!$P$38</f>
        <v>1.9427999999999999</v>
      </c>
      <c r="K31" s="57">
        <f>($B$6-(SUM(F31:H31)))*'Cadastro de Insumos'!$P$42</f>
        <v>0</v>
      </c>
      <c r="L31" s="57">
        <f>($B$6-(SUM(F31:H31)))*'Cadastro de Insumos'!$P$46</f>
        <v>0</v>
      </c>
      <c r="M31" s="56">
        <f>IF(C31=0,"",('Escopo de Estudo'!$D$30/SUM('Ficha de Dosagem - F'!I31:L31))*C31)</f>
        <v>4.1177681696520487</v>
      </c>
      <c r="N31" s="57" t="str">
        <f>IF(N10="","",('Escopo de Estudo'!$D$30/SUM('Ficha de Dosagem - F'!I31:L31))*D31)</f>
        <v/>
      </c>
      <c r="O31" s="58" t="str">
        <f>IF(O10="","",('Escopo de Estudo'!$D$30/SUM('Ficha de Dosagem - F'!I31:L31))*E31)</f>
        <v/>
      </c>
      <c r="P31" s="56">
        <f t="shared" si="1"/>
        <v>12.942145357216392</v>
      </c>
      <c r="Q31" s="57" t="str">
        <f>IF($Q$10="","",SUM(M31:O31)*G31)</f>
        <v/>
      </c>
      <c r="R31" s="58" t="str">
        <f>IF($R$10="","",SUM(M31:O31)*H31)</f>
        <v/>
      </c>
      <c r="S31" s="56" t="str">
        <f>IF('Cadastro de Insumos'!$O$52=FALSE,"",IF('Cadastro de Insumos'!$P$52=FALSE,(('Cadastro de Insumos'!$E$54*M31)/'Cadastro de Insumos'!$L$54)*1000,(('Cadastro de Insumos'!$E$54*M31)*1000)))</f>
        <v/>
      </c>
      <c r="T31" s="57" t="str">
        <f>IF('Cadastro de Insumos'!$O$56=FALSE,"",IF('Cadastro de Insumos'!$P$56=FALSE,(('Cadastro de Insumos'!$E$58*M31)/'Cadastro de Insumos'!$L$58)*1000,(('Cadastro de Insumos'!$E$58*M31)*1000)))</f>
        <v/>
      </c>
      <c r="U31" s="57" t="str">
        <f>IF('Cadastro de Insumos'!$O$60=FALSE,"",IF('Cadastro de Insumos'!$P$60=FALSE,(('Cadastro de Insumos'!$E$62*M31)/'Cadastro de Insumos'!$L$62)*1000,(('Cadastro de Insumos'!$E$62*M31)*1000)))</f>
        <v/>
      </c>
      <c r="V31" s="58" t="str">
        <f>IF('Cadastro de Insumos'!$O$64=FALSE,"",IF('Cadastro de Insumos'!$P$64=FALSE,(('Cadastro de Insumos'!$E$66*M31)/'Cadastro de Insumos'!$L$66)*1000,(('Cadastro de Insumos'!$E$66*M31)*1000)))</f>
        <v/>
      </c>
      <c r="W31" s="56" t="str">
        <f>IF('Cadastro de Insumos'!$O$70=FALSE,"",IF('Cadastro de Insumos'!$P$70=FALSE,(('Cadastro de Insumos'!$E$72*M31)/'Cadastro de Insumos'!$L$72)*1000,(('Cadastro de Insumos'!$E$72*M31)*1000)))</f>
        <v/>
      </c>
      <c r="X31" s="57" t="str">
        <f>IF('Cadastro de Insumos'!$O$74=FALSE,"",IF('Cadastro de Insumos'!$P$74=FALSE,(('Cadastro de Insumos'!$E$76*M31)/'Cadastro de Insumos'!$L$76)*1000,(('Cadastro de Insumos'!$E$76*M31)*1000)))</f>
        <v/>
      </c>
      <c r="Y31" s="57" t="str">
        <f>IF('Cadastro de Insumos'!$O$78=FALSE,"",IF('Cadastro de Insumos'!$P$78=FALSE,(('Cadastro de Insumos'!$E$80*M31)/'Cadastro de Insumos'!$L$80)*1000,(('Cadastro de Insumos'!$E$80*M31)*1000)))</f>
        <v/>
      </c>
      <c r="Z31" s="58" t="str">
        <f>IF('Cadastro de Insumos'!$O$82=FALSE,"",IF('Cadastro de Insumos'!$P$82=FALSE,(('Cadastro de Insumos'!$E$84*M31)/'Cadastro de Insumos'!$L$84)*1000,(('Cadastro de Insumos'!$E$84*M31)*1000)))</f>
        <v/>
      </c>
    </row>
  </sheetData>
  <mergeCells count="34">
    <mergeCell ref="N7:O7"/>
    <mergeCell ref="Q7:R7"/>
    <mergeCell ref="T7:V7"/>
    <mergeCell ref="X7:Z7"/>
    <mergeCell ref="N2:O2"/>
    <mergeCell ref="U2:W2"/>
    <mergeCell ref="N3:O3"/>
    <mergeCell ref="U3:W3"/>
    <mergeCell ref="N5:O5"/>
    <mergeCell ref="Q5:R5"/>
    <mergeCell ref="T5:V5"/>
    <mergeCell ref="X5:Z5"/>
    <mergeCell ref="N6:O6"/>
    <mergeCell ref="Q6:R6"/>
    <mergeCell ref="T6:V6"/>
    <mergeCell ref="X6:Z6"/>
    <mergeCell ref="T8:V8"/>
    <mergeCell ref="X8:Z8"/>
    <mergeCell ref="B9:B10"/>
    <mergeCell ref="C9:K9"/>
    <mergeCell ref="M9:O9"/>
    <mergeCell ref="P9:R9"/>
    <mergeCell ref="S9:V9"/>
    <mergeCell ref="W9:Z9"/>
    <mergeCell ref="B24:B25"/>
    <mergeCell ref="B26:B27"/>
    <mergeCell ref="B28:B29"/>
    <mergeCell ref="B30:B31"/>
    <mergeCell ref="B12:B13"/>
    <mergeCell ref="B14:B15"/>
    <mergeCell ref="B16:B17"/>
    <mergeCell ref="B18:B19"/>
    <mergeCell ref="B20:B21"/>
    <mergeCell ref="B22:B23"/>
  </mergeCells>
  <conditionalFormatting sqref="B2:Z31">
    <cfRule type="expression" dxfId="3" priority="1">
      <formula>$B$2=FALSE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A97DA75-059B-4B4A-9F23-9E5CED945F02}">
            <xm:f>'Dados - Fase Plástica'!$P$1="ERRO"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B2:Z31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FE0A-0B49-4314-B790-B30062B7358F}">
  <dimension ref="B1:Z31"/>
  <sheetViews>
    <sheetView view="pageBreakPreview" zoomScaleNormal="100" zoomScaleSheetLayoutView="100" workbookViewId="0">
      <selection activeCell="N2" sqref="N2:O2"/>
    </sheetView>
  </sheetViews>
  <sheetFormatPr defaultColWidth="9.125" defaultRowHeight="15.75"/>
  <cols>
    <col min="1" max="1" width="9.125" style="27"/>
    <col min="2" max="2" width="15.625" style="27" bestFit="1" customWidth="1"/>
    <col min="3" max="12" width="0" style="27" hidden="1" customWidth="1"/>
    <col min="13" max="18" width="16.125" style="27" customWidth="1"/>
    <col min="19" max="26" width="13.375" style="27" customWidth="1"/>
    <col min="27" max="16384" width="9.125" style="27"/>
  </cols>
  <sheetData>
    <row r="1" spans="2:26" ht="16.5" thickBot="1"/>
    <row r="2" spans="2:26" ht="28.5" customHeight="1">
      <c r="B2" s="73" t="b">
        <f>'Escopo de Estudo'!AB10</f>
        <v>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49" t="str">
        <f>IF('Cadastro de Insumos'!O34=FALSE,"","p1")</f>
        <v>p1</v>
      </c>
      <c r="N2" s="260" t="str">
        <f>IF(M2="","",'Cadastro de Insumos'!E34&amp;" - "&amp;'Cadastro de Insumos'!E35&amp;" - "&amp;'Cadastro de Insumos'!E36)</f>
        <v>Brita 1 - Serra de São Vicente - Cuiabá-MT</v>
      </c>
      <c r="O2" s="260"/>
      <c r="P2" s="68" t="str">
        <f>IF(M2="","","Quantidade (kg)")</f>
        <v>Quantidade (kg)</v>
      </c>
      <c r="Q2" s="71">
        <f>IF(M2="","",'Escopo de Estudo'!D30*'Cadastro de Insumos'!P34)</f>
        <v>12</v>
      </c>
      <c r="R2" s="50"/>
      <c r="S2" s="50"/>
      <c r="T2" s="49" t="str">
        <f>IF('Cadastro de Insumos'!O42=FALSE,"","p3")</f>
        <v/>
      </c>
      <c r="U2" s="248" t="str">
        <f>IF(T2="","",'Cadastro de Insumos'!E42&amp;" - "&amp;'Cadastro de Insumos'!E43&amp;" - "&amp;'Cadastro de Insumos'!E44)</f>
        <v/>
      </c>
      <c r="V2" s="248"/>
      <c r="W2" s="248"/>
      <c r="X2" s="68" t="str">
        <f>IF(U2="","","Quantidade (kg)")</f>
        <v/>
      </c>
      <c r="Y2" s="51" t="str">
        <f>IF(T2="","",'Escopo de Estudo'!D30*'Cadastro de Insumos'!P42)</f>
        <v/>
      </c>
      <c r="Z2" s="51"/>
    </row>
    <row r="3" spans="2:26" ht="28.5" customHeight="1" thickBot="1">
      <c r="B3" s="52"/>
      <c r="M3" s="59" t="str">
        <f>IF('Cadastro de Insumos'!O38=FALSE,"","p2")</f>
        <v>p2</v>
      </c>
      <c r="N3" s="261" t="str">
        <f>IF(M3="","",'Cadastro de Insumos'!E38&amp;" - "&amp;'Cadastro de Insumos'!E39&amp;" - "&amp;'Cadastro de Insumos'!E40)</f>
        <v>Brita 0 - Serra de São Vicente - Cuiabá-MT</v>
      </c>
      <c r="O3" s="261"/>
      <c r="P3" s="69" t="str">
        <f>IF(M3="","","Quantidade (kg)")</f>
        <v>Quantidade (kg)</v>
      </c>
      <c r="Q3" s="58">
        <f>IF(M3="","",'Escopo de Estudo'!D30*'Cadastro de Insumos'!P38)</f>
        <v>8</v>
      </c>
      <c r="T3" s="59" t="str">
        <f>IF('Cadastro de Insumos'!O46=FALSE,"","p4")</f>
        <v/>
      </c>
      <c r="U3" s="262" t="str">
        <f>IF(T3="","",'Cadastro de Insumos'!E46&amp;" - "&amp;'Cadastro de Insumos'!E47&amp;" - "&amp;'Cadastro de Insumos'!E48)</f>
        <v/>
      </c>
      <c r="V3" s="262"/>
      <c r="W3" s="262"/>
      <c r="X3" s="69" t="str">
        <f>IF(U3="","","Quantidade (kg)")</f>
        <v/>
      </c>
      <c r="Y3" s="61" t="str">
        <f>IF(T3="","",'Escopo de Estudo'!D30*'Cadastro de Insumos'!P46)</f>
        <v/>
      </c>
      <c r="Z3" s="53"/>
    </row>
    <row r="4" spans="2:26" ht="15.75" customHeight="1" thickBot="1">
      <c r="B4" s="52"/>
      <c r="Z4" s="53"/>
    </row>
    <row r="5" spans="2:26" ht="28.5" customHeight="1">
      <c r="B5" s="47" t="s">
        <v>81</v>
      </c>
      <c r="M5" s="49" t="str">
        <f>M10</f>
        <v>CP</v>
      </c>
      <c r="N5" s="254" t="str">
        <f>IF(M5="","",'Cadastro de Insumos'!E6&amp;" - "&amp;'Cadastro de Insumos'!E7&amp;" - "&amp;'Cadastro de Insumos'!E8)</f>
        <v>CP II F 40 - Votorantim - Cuiabá-MT</v>
      </c>
      <c r="O5" s="255"/>
      <c r="P5" s="49" t="str">
        <f>P10</f>
        <v>a1</v>
      </c>
      <c r="Q5" s="254" t="str">
        <f>IF(P5="","",'Cadastro de Insumos'!E20&amp;" - "&amp;'Cadastro de Insumos'!E21&amp;" - "&amp;'Cadastro de Insumos'!E22)</f>
        <v>Areia Natural do Rio Cuiabá - - - Cuiabá - MT</v>
      </c>
      <c r="R5" s="255"/>
      <c r="S5" s="49" t="str">
        <f>S10</f>
        <v/>
      </c>
      <c r="T5" s="254" t="str">
        <f>IF(S5="","",'Cadastro de Insumos'!E52&amp;" - "&amp;'Cadastro de Insumos'!E53&amp;" - "&amp;'Cadastro de Insumos'!E54*100&amp;"% - "&amp;'Cadastro de Insumos'!L54)</f>
        <v/>
      </c>
      <c r="U5" s="254"/>
      <c r="V5" s="255"/>
      <c r="W5" s="49" t="str">
        <f>W10</f>
        <v/>
      </c>
      <c r="X5" s="254"/>
      <c r="Y5" s="254"/>
      <c r="Z5" s="255"/>
    </row>
    <row r="6" spans="2:26" ht="28.5" customHeight="1" thickBot="1">
      <c r="B6" s="48">
        <f>'Escopo de Estudo'!AB8</f>
        <v>9</v>
      </c>
      <c r="M6" s="52" t="str">
        <f>N10</f>
        <v/>
      </c>
      <c r="N6" s="256" t="str">
        <f>IF(M6="","",'Cadastro de Insumos'!E10&amp;" - "&amp;'Cadastro de Insumos'!E11&amp;" - "&amp;'Cadastro de Insumos'!E12)</f>
        <v/>
      </c>
      <c r="O6" s="257"/>
      <c r="P6" s="52" t="str">
        <f>Q10</f>
        <v/>
      </c>
      <c r="Q6" s="256" t="str">
        <f>IF(P6="","",'Cadastro de Insumos'!E24&amp;" - "&amp;'Cadastro de Insumos'!E25&amp;" - "&amp;'Cadastro de Insumos'!E26)</f>
        <v/>
      </c>
      <c r="R6" s="257"/>
      <c r="S6" s="52" t="str">
        <f>T10</f>
        <v/>
      </c>
      <c r="T6" s="256" t="str">
        <f>IF(S6="","",'Cadastro de Insumos'!E56&amp;" - "&amp;'Cadastro de Insumos'!E57&amp;" - "&amp;'Cadastro de Insumos'!E58*100&amp;"% - "&amp;'Cadastro de Insumos'!L58)</f>
        <v/>
      </c>
      <c r="U6" s="256"/>
      <c r="V6" s="257"/>
      <c r="W6" s="52" t="str">
        <f>X10</f>
        <v/>
      </c>
      <c r="X6" s="256"/>
      <c r="Y6" s="256"/>
      <c r="Z6" s="257"/>
    </row>
    <row r="7" spans="2:26" ht="28.5" customHeight="1" thickBot="1">
      <c r="B7" s="52"/>
      <c r="M7" s="59" t="str">
        <f>O10</f>
        <v/>
      </c>
      <c r="N7" s="258" t="str">
        <f>IF(M7="","",'Cadastro de Insumos'!E14&amp;" - "&amp;'Cadastro de Insumos'!E15&amp;" - "&amp;'Cadastro de Insumos'!E16)</f>
        <v/>
      </c>
      <c r="O7" s="259"/>
      <c r="P7" s="59" t="str">
        <f>R10</f>
        <v/>
      </c>
      <c r="Q7" s="258" t="str">
        <f>IF(P7="","",'Cadastro de Insumos'!E28&amp;" - "&amp;'Cadastro de Insumos'!E29&amp;" - "&amp;'Cadastro de Insumos'!E30)</f>
        <v/>
      </c>
      <c r="R7" s="259"/>
      <c r="S7" s="52" t="str">
        <f>U10</f>
        <v/>
      </c>
      <c r="T7" s="256" t="str">
        <f>IF(S7="","",'Cadastro de Insumos'!E60&amp;" - "&amp;'Cadastro de Insumos'!E61&amp;" - "&amp;'Cadastro de Insumos'!E62*100&amp;"% - "&amp;'Cadastro de Insumos'!L62)</f>
        <v/>
      </c>
      <c r="U7" s="256"/>
      <c r="V7" s="257"/>
      <c r="W7" s="52" t="str">
        <f>Y10</f>
        <v/>
      </c>
      <c r="X7" s="256"/>
      <c r="Y7" s="256"/>
      <c r="Z7" s="257"/>
    </row>
    <row r="8" spans="2:26" ht="28.5" customHeight="1" thickBot="1">
      <c r="B8" s="52"/>
      <c r="M8" s="50"/>
      <c r="N8" s="50"/>
      <c r="O8" s="50"/>
      <c r="Q8" s="50"/>
      <c r="R8" s="53"/>
      <c r="S8" s="59" t="str">
        <f>V10</f>
        <v/>
      </c>
      <c r="T8" s="258" t="str">
        <f>IF(S8="","",'Cadastro de Insumos'!E64&amp;" - "&amp;'Cadastro de Insumos'!E65&amp;" - "&amp;'Cadastro de Insumos'!E66*100&amp;"% - "&amp;'Cadastro de Insumos'!L66)</f>
        <v/>
      </c>
      <c r="U8" s="258"/>
      <c r="V8" s="259"/>
      <c r="W8" s="59" t="str">
        <f>Z10</f>
        <v/>
      </c>
      <c r="X8" s="258"/>
      <c r="Y8" s="258"/>
      <c r="Z8" s="259"/>
    </row>
    <row r="9" spans="2:26">
      <c r="B9" s="250" t="s">
        <v>65</v>
      </c>
      <c r="C9" s="248" t="s">
        <v>121</v>
      </c>
      <c r="D9" s="248"/>
      <c r="E9" s="248"/>
      <c r="F9" s="248"/>
      <c r="G9" s="248"/>
      <c r="H9" s="248"/>
      <c r="I9" s="248"/>
      <c r="J9" s="248"/>
      <c r="K9" s="248"/>
      <c r="L9" s="50"/>
      <c r="M9" s="247" t="s">
        <v>122</v>
      </c>
      <c r="N9" s="248"/>
      <c r="O9" s="249"/>
      <c r="P9" s="247" t="s">
        <v>123</v>
      </c>
      <c r="Q9" s="248"/>
      <c r="R9" s="249"/>
      <c r="S9" s="247" t="s">
        <v>124</v>
      </c>
      <c r="T9" s="248"/>
      <c r="U9" s="248"/>
      <c r="V9" s="249"/>
      <c r="W9" s="247" t="s">
        <v>125</v>
      </c>
      <c r="X9" s="248"/>
      <c r="Y9" s="248"/>
      <c r="Z9" s="249"/>
    </row>
    <row r="10" spans="2:26" ht="16.5" thickBot="1">
      <c r="B10" s="251"/>
      <c r="C10" s="60" t="s">
        <v>79</v>
      </c>
      <c r="D10" s="60" t="s">
        <v>126</v>
      </c>
      <c r="E10" s="60" t="s">
        <v>127</v>
      </c>
      <c r="F10" s="60" t="s">
        <v>128</v>
      </c>
      <c r="G10" s="60" t="s">
        <v>129</v>
      </c>
      <c r="H10" s="60" t="s">
        <v>130</v>
      </c>
      <c r="I10" s="60" t="s">
        <v>131</v>
      </c>
      <c r="J10" s="60" t="s">
        <v>132</v>
      </c>
      <c r="K10" s="60" t="s">
        <v>133</v>
      </c>
      <c r="L10" s="60" t="s">
        <v>134</v>
      </c>
      <c r="M10" s="59" t="s">
        <v>79</v>
      </c>
      <c r="N10" s="60" t="str">
        <f>IF('Cadastro de Insumos'!O10=FALSE,"","MCS1")</f>
        <v/>
      </c>
      <c r="O10" s="61" t="str">
        <f>IF('Cadastro de Insumos'!O14=FALSE,"","MCS2")</f>
        <v/>
      </c>
      <c r="P10" s="59" t="str">
        <f>IF('Cadastro de Insumos'!O20=FALSE,"","a1")</f>
        <v>a1</v>
      </c>
      <c r="Q10" s="60" t="str">
        <f>IF('Cadastro de Insumos'!O24=FALSE,"","a2")</f>
        <v/>
      </c>
      <c r="R10" s="61" t="str">
        <f>IF('Cadastro de Insumos'!O28=FALSE,"","a3")</f>
        <v/>
      </c>
      <c r="S10" s="59" t="str">
        <f>IF('Cadastro de Insumos'!O52=FALSE,"","Adt1"&amp;IF('Cadastro de Insumos'!P52=FALSE," - ml"," - g"))</f>
        <v/>
      </c>
      <c r="T10" s="60" t="str">
        <f>IF('Cadastro de Insumos'!O56=FALSE,"","Adt2"&amp;IF('Cadastro de Insumos'!P56=FALSE," - ml"," - g"))</f>
        <v/>
      </c>
      <c r="U10" s="60" t="str">
        <f>IF('Cadastro de Insumos'!O60=FALSE,"","Adt3"&amp;IF('Cadastro de Insumos'!P60=FALSE," - ml"," - g"))</f>
        <v/>
      </c>
      <c r="V10" s="61" t="str">
        <f>IF('Cadastro de Insumos'!O64=FALSE,"","Adt4"&amp;IF('Cadastro de Insumos'!P64=FALSE," - ml"," - g"))</f>
        <v/>
      </c>
      <c r="W10" s="59" t="str">
        <f>IF('Cadastro de Insumos'!O70=FALSE,"","Adc1"&amp;IF('Cadastro de Insumos'!P70=FALSE," - ml"," - g"))</f>
        <v/>
      </c>
      <c r="X10" s="60" t="str">
        <f>IF('Cadastro de Insumos'!O74=FALSE,"","Adc2"&amp;IF('Cadastro de Insumos'!P74=FALSE," - ml"," - g"))</f>
        <v/>
      </c>
      <c r="Y10" s="60" t="str">
        <f>IF('Cadastro de Insumos'!O78=FALSE,"","Adc4"&amp;IF('Cadastro de Insumos'!P78=FALSE," - ml"," - g"))</f>
        <v/>
      </c>
      <c r="Z10" s="61" t="str">
        <f>IF('Cadastro de Insumos'!O82=FALSE,"","Adc4"&amp;IF('Cadastro de Insumos'!P82=FALSE," - ml"," - g"))</f>
        <v/>
      </c>
    </row>
    <row r="11" spans="2:26" ht="16.5" thickBot="1">
      <c r="B11" s="62">
        <f>'Escopo de Estudo'!J30</f>
        <v>0.51</v>
      </c>
      <c r="C11" s="27">
        <f>1*'Cadastro de Insumos'!$P$6</f>
        <v>1</v>
      </c>
      <c r="D11" s="27">
        <f>1*'Cadastro de Insumos'!$P$10</f>
        <v>0</v>
      </c>
      <c r="E11" s="27">
        <f>1*'Cadastro de Insumos'!$P$14</f>
        <v>0</v>
      </c>
      <c r="F11" s="72">
        <f>(B11*(1+$B$6)-1)*'Cadastro de Insumos'!$P$20</f>
        <v>2.8699999999999997</v>
      </c>
      <c r="G11" s="72">
        <f>(B11*(1+$B$6)-1)*'Cadastro de Insumos'!$P$24</f>
        <v>0</v>
      </c>
      <c r="H11" s="72">
        <f>(B11*(1+$B$6)-1)*'Cadastro de Insumos'!$P$28</f>
        <v>0</v>
      </c>
      <c r="I11" s="72">
        <f>($B$6-(SUM(F11:H11)))*'Cadastro de Insumos'!$P$34</f>
        <v>3.6780000000000004</v>
      </c>
      <c r="J11" s="72">
        <f>($B$6-(SUM(F11:H11)))*'Cadastro de Insumos'!$P$38</f>
        <v>2.4520000000000004</v>
      </c>
      <c r="K11" s="72">
        <f>($B$6-(SUM(F11:H11)))*'Cadastro de Insumos'!$P$42</f>
        <v>0</v>
      </c>
      <c r="L11" s="72">
        <f>($B$6-(SUM(F11:H11)))*'Cadastro de Insumos'!$P$46</f>
        <v>0</v>
      </c>
      <c r="M11" s="54">
        <f>IF(C11=0,"",('Escopo de Estudo'!$D$30/SUM('Ficha de Dosagem - G'!I11:L11))*C11)</f>
        <v>3.2626427406199019</v>
      </c>
      <c r="N11" s="72" t="str">
        <f>IF(N10="","",('Escopo de Estudo'!$D$30/SUM('Ficha de Dosagem - G'!I11:L11))*D11)</f>
        <v/>
      </c>
      <c r="O11" s="55" t="str">
        <f>IF(O10="","",('Escopo de Estudo'!$D$30/SUM('Ficha de Dosagem - G'!I11:L11))*E11)</f>
        <v/>
      </c>
      <c r="P11" s="54">
        <f>IF(F11=0,"",SUM(M11:O11)*F11)</f>
        <v>9.3637846655791179</v>
      </c>
      <c r="Q11" s="72" t="str">
        <f>IF($Q$10="","",SUM(M11:O11)*G11)</f>
        <v/>
      </c>
      <c r="R11" s="55" t="str">
        <f>IF($R$10="","",SUM(M11:O11)*H11)</f>
        <v/>
      </c>
      <c r="S11" s="54" t="str">
        <f>IF('Cadastro de Insumos'!$O$52=FALSE,"",IF('Cadastro de Insumos'!$P$52=FALSE,(('Cadastro de Insumos'!$E$54*M11)/'Cadastro de Insumos'!$L$54)*1000,(('Cadastro de Insumos'!$E$54*M11)*1000)))</f>
        <v/>
      </c>
      <c r="T11" s="72" t="str">
        <f>IF('Cadastro de Insumos'!$O$56=FALSE,"",IF('Cadastro de Insumos'!$P$56=FALSE,(('Cadastro de Insumos'!$E$58*M11)/'Cadastro de Insumos'!$L$58)*1000,(('Cadastro de Insumos'!$E$58*M11)*1000)))</f>
        <v/>
      </c>
      <c r="U11" s="72" t="str">
        <f>IF('Cadastro de Insumos'!$O$60=FALSE,"",IF('Cadastro de Insumos'!$P$60=FALSE,(('Cadastro de Insumos'!$E$62*M11)/'Cadastro de Insumos'!$L$62)*1000,(('Cadastro de Insumos'!$E$62*M11)*1000)))</f>
        <v/>
      </c>
      <c r="V11" s="55" t="str">
        <f>IF('Cadastro de Insumos'!$O$64=FALSE,"",IF('Cadastro de Insumos'!$P$64=FALSE,(('Cadastro de Insumos'!$E$66*M11)/'Cadastro de Insumos'!$L$66)*1000,(('Cadastro de Insumos'!$E$66*M11)*1000)))</f>
        <v/>
      </c>
      <c r="W11" s="54" t="str">
        <f>IF('Cadastro de Insumos'!$O$70=FALSE,"",IF('Cadastro de Insumos'!$P$70=FALSE,(('Cadastro de Insumos'!$E$72*M11)/'Cadastro de Insumos'!$L$72)*1000,(('Cadastro de Insumos'!$E$72*M11)*1000)))</f>
        <v/>
      </c>
      <c r="X11" s="72" t="str">
        <f>IF('Cadastro de Insumos'!$O$74=FALSE,"",IF('Cadastro de Insumos'!$P$74=FALSE,(('Cadastro de Insumos'!$E$76*M11)/'Cadastro de Insumos'!$L$76)*1000,(('Cadastro de Insumos'!$E$76*M11)*1000)))</f>
        <v/>
      </c>
      <c r="Y11" s="72" t="str">
        <f>IF('Cadastro de Insumos'!$O$78=FALSE,"",IF('Cadastro de Insumos'!$P$78=FALSE,(('Cadastro de Insumos'!$E$80*M11)/'Cadastro de Insumos'!$L$80)*1000,(('Cadastro de Insumos'!$E$80*M11)*1000)))</f>
        <v/>
      </c>
      <c r="Z11" s="55" t="str">
        <f>IF('Cadastro de Insumos'!$O$82=FALSE,"",IF('Cadastro de Insumos'!$P$82=FALSE,(('Cadastro de Insumos'!$E$84*M11)/'Cadastro de Insumos'!$L$84)*1000,(('Cadastro de Insumos'!$E$84*M11)*1000)))</f>
        <v/>
      </c>
    </row>
    <row r="12" spans="2:26">
      <c r="B12" s="252">
        <f>B11+0.01</f>
        <v>0.52</v>
      </c>
      <c r="C12" s="50"/>
      <c r="D12" s="50"/>
      <c r="E12" s="50"/>
      <c r="F12" s="63"/>
      <c r="G12" s="63"/>
      <c r="H12" s="63"/>
      <c r="I12" s="63"/>
      <c r="J12" s="63"/>
      <c r="K12" s="63"/>
      <c r="L12" s="63"/>
      <c r="M12" s="64" t="str">
        <f>IF(M13="","","+"&amp;ROUND(M13-M11,3))</f>
        <v>+0,038</v>
      </c>
      <c r="N12" s="65" t="str">
        <f>IF(N13="","","+"&amp;ROUND(N13-N11,3))</f>
        <v/>
      </c>
      <c r="O12" s="66" t="str">
        <f>IF(O13="","","+"&amp;ROUND(O13-O11,3))</f>
        <v/>
      </c>
      <c r="P12" s="64" t="str">
        <f t="shared" ref="P12:Z12" si="0">IF(P13="","","+"&amp;ROUND(P13-P11,3))</f>
        <v>+0,339</v>
      </c>
      <c r="Q12" s="65" t="str">
        <f t="shared" si="0"/>
        <v/>
      </c>
      <c r="R12" s="67" t="str">
        <f t="shared" si="0"/>
        <v/>
      </c>
      <c r="S12" s="64" t="str">
        <f t="shared" si="0"/>
        <v/>
      </c>
      <c r="T12" s="65" t="str">
        <f t="shared" si="0"/>
        <v/>
      </c>
      <c r="U12" s="65" t="str">
        <f t="shared" si="0"/>
        <v/>
      </c>
      <c r="V12" s="67" t="str">
        <f t="shared" si="0"/>
        <v/>
      </c>
      <c r="W12" s="64" t="str">
        <f t="shared" si="0"/>
        <v/>
      </c>
      <c r="X12" s="65" t="str">
        <f t="shared" si="0"/>
        <v/>
      </c>
      <c r="Y12" s="65" t="str">
        <f t="shared" si="0"/>
        <v/>
      </c>
      <c r="Z12" s="67" t="str">
        <f t="shared" si="0"/>
        <v/>
      </c>
    </row>
    <row r="13" spans="2:26" ht="16.5" thickBot="1">
      <c r="B13" s="253"/>
      <c r="C13" s="60">
        <f>1*'Cadastro de Insumos'!$P$6</f>
        <v>1</v>
      </c>
      <c r="D13" s="60">
        <f>1*'Cadastro de Insumos'!$P$10</f>
        <v>0</v>
      </c>
      <c r="E13" s="60">
        <f>1*'Cadastro de Insumos'!$P$14</f>
        <v>0</v>
      </c>
      <c r="F13" s="57">
        <f>(B12*(1+$B$6)-1)*'Cadastro de Insumos'!$P$20</f>
        <v>2.94</v>
      </c>
      <c r="G13" s="57">
        <f>(B12*(1+$B$6)-1)*'Cadastro de Insumos'!$P$24</f>
        <v>0</v>
      </c>
      <c r="H13" s="57">
        <f>(B12*(1+$B$6)-1)*'Cadastro de Insumos'!$P$28</f>
        <v>0</v>
      </c>
      <c r="I13" s="57">
        <f>($B$6-(SUM(F13:H13)))*'Cadastro de Insumos'!$P$34</f>
        <v>3.6360000000000001</v>
      </c>
      <c r="J13" s="57">
        <f>($B$6-(SUM(F13:H13)))*'Cadastro de Insumos'!$P$38</f>
        <v>2.4240000000000004</v>
      </c>
      <c r="K13" s="57">
        <f>($B$6-(SUM(F13:H13)))*'Cadastro de Insumos'!$P$42</f>
        <v>0</v>
      </c>
      <c r="L13" s="57">
        <f>($B$6-(SUM(F13:H13)))*'Cadastro de Insumos'!$P$46</f>
        <v>0</v>
      </c>
      <c r="M13" s="56">
        <f>IF(C13=0,"",('Escopo de Estudo'!$D$30/SUM('Ficha de Dosagem - G'!I13:L13))*C13)</f>
        <v>3.3003300330032999</v>
      </c>
      <c r="N13" s="57" t="str">
        <f>IF(N10="","",('Escopo de Estudo'!$D$30/SUM('Ficha de Dosagem - G'!I13:L13))*D13)</f>
        <v/>
      </c>
      <c r="O13" s="58" t="str">
        <f>IF(O10="","",('Escopo de Estudo'!$D$30/SUM('Ficha de Dosagem - G'!I13:L13))*E13)</f>
        <v/>
      </c>
      <c r="P13" s="56">
        <f t="shared" ref="P13:P31" si="1">IF(F13=0,"",SUM(M13:O13)*F13)</f>
        <v>9.7029702970297009</v>
      </c>
      <c r="Q13" s="72" t="str">
        <f>IF($Q$10="","",SUM(M13:O13)*G13)</f>
        <v/>
      </c>
      <c r="R13" s="55" t="str">
        <f>IF($R$10="","",SUM(M13:O13)*H13)</f>
        <v/>
      </c>
      <c r="S13" s="56" t="str">
        <f>IF('Cadastro de Insumos'!$O$52=FALSE,"",IF('Cadastro de Insumos'!$P$52=FALSE,(('Cadastro de Insumos'!$E$54*M13)/'Cadastro de Insumos'!$L$54)*1000,(('Cadastro de Insumos'!$E$54*M13)*1000)))</f>
        <v/>
      </c>
      <c r="T13" s="57" t="str">
        <f>IF('Cadastro de Insumos'!$O$56=FALSE,"",IF('Cadastro de Insumos'!$P$56=FALSE,(('Cadastro de Insumos'!$E$58*M13)/'Cadastro de Insumos'!$L$58)*1000,(('Cadastro de Insumos'!$E$58*M13)*1000)))</f>
        <v/>
      </c>
      <c r="U13" s="57" t="str">
        <f>IF('Cadastro de Insumos'!$O$60=FALSE,"",IF('Cadastro de Insumos'!$P$60=FALSE,(('Cadastro de Insumos'!$E$62*M13)/'Cadastro de Insumos'!$L$62)*1000,(('Cadastro de Insumos'!$E$62*M13)*1000)))</f>
        <v/>
      </c>
      <c r="V13" s="58" t="str">
        <f>IF('Cadastro de Insumos'!$O$64=FALSE,"",IF('Cadastro de Insumos'!$P$64=FALSE,(('Cadastro de Insumos'!$E$66*M13)/'Cadastro de Insumos'!$L$66)*1000,(('Cadastro de Insumos'!$E$66*M13)*1000)))</f>
        <v/>
      </c>
      <c r="W13" s="56" t="str">
        <f>IF('Cadastro de Insumos'!$O$70=FALSE,"",IF('Cadastro de Insumos'!$P$70=FALSE,(('Cadastro de Insumos'!$E$72*M13)/'Cadastro de Insumos'!$L$72)*1000,(('Cadastro de Insumos'!$E$72*M13)*1000)))</f>
        <v/>
      </c>
      <c r="X13" s="57" t="str">
        <f>IF('Cadastro de Insumos'!$O$74=FALSE,"",IF('Cadastro de Insumos'!$P$74=FALSE,(('Cadastro de Insumos'!$E$76*M13)/'Cadastro de Insumos'!$L$76)*1000,(('Cadastro de Insumos'!$E$76*M13)*1000)))</f>
        <v/>
      </c>
      <c r="Y13" s="57" t="str">
        <f>IF('Cadastro de Insumos'!$O$78=FALSE,"",IF('Cadastro de Insumos'!$P$78=FALSE,(('Cadastro de Insumos'!$E$80*M13)/'Cadastro de Insumos'!$L$80)*1000,(('Cadastro de Insumos'!$E$80*M13)*1000)))</f>
        <v/>
      </c>
      <c r="Z13" s="58" t="str">
        <f>IF('Cadastro de Insumos'!$O$82=FALSE,"",IF('Cadastro de Insumos'!$P$82=FALSE,(('Cadastro de Insumos'!$E$84*M13)/'Cadastro de Insumos'!$L$84)*1000,(('Cadastro de Insumos'!$E$84*M13)*1000)))</f>
        <v/>
      </c>
    </row>
    <row r="14" spans="2:26">
      <c r="B14" s="252">
        <f>B12+0.01</f>
        <v>0.53</v>
      </c>
      <c r="C14" s="50"/>
      <c r="D14" s="50"/>
      <c r="E14" s="50"/>
      <c r="F14" s="63"/>
      <c r="G14" s="63"/>
      <c r="H14" s="63"/>
      <c r="I14" s="63"/>
      <c r="J14" s="63"/>
      <c r="K14" s="63"/>
      <c r="L14" s="63"/>
      <c r="M14" s="64" t="str">
        <f>IF(M15="","","+"&amp;ROUND(M15-M13,3))</f>
        <v>+0,039</v>
      </c>
      <c r="N14" s="65" t="str">
        <f>IF(N15="","","+"&amp;ROUND(N15-N13,3))</f>
        <v/>
      </c>
      <c r="O14" s="66" t="str">
        <f>IF(O15="","","+"&amp;ROUND(O15-O13,3))</f>
        <v/>
      </c>
      <c r="P14" s="64" t="str">
        <f t="shared" ref="P14:Z14" si="2">IF(P15="","","+"&amp;ROUND(P15-P13,3))</f>
        <v>+0,347</v>
      </c>
      <c r="Q14" s="65" t="str">
        <f t="shared" si="2"/>
        <v/>
      </c>
      <c r="R14" s="67" t="str">
        <f t="shared" si="2"/>
        <v/>
      </c>
      <c r="S14" s="64" t="str">
        <f t="shared" si="2"/>
        <v/>
      </c>
      <c r="T14" s="65" t="str">
        <f t="shared" si="2"/>
        <v/>
      </c>
      <c r="U14" s="65" t="str">
        <f t="shared" si="2"/>
        <v/>
      </c>
      <c r="V14" s="67" t="str">
        <f t="shared" si="2"/>
        <v/>
      </c>
      <c r="W14" s="64" t="str">
        <f t="shared" si="2"/>
        <v/>
      </c>
      <c r="X14" s="65" t="str">
        <f t="shared" si="2"/>
        <v/>
      </c>
      <c r="Y14" s="65" t="str">
        <f t="shared" si="2"/>
        <v/>
      </c>
      <c r="Z14" s="67" t="str">
        <f t="shared" si="2"/>
        <v/>
      </c>
    </row>
    <row r="15" spans="2:26" ht="16.5" thickBot="1">
      <c r="B15" s="253"/>
      <c r="C15" s="60">
        <f>1*'Cadastro de Insumos'!$P$6</f>
        <v>1</v>
      </c>
      <c r="D15" s="60">
        <f>1*'Cadastro de Insumos'!$P$10</f>
        <v>0</v>
      </c>
      <c r="E15" s="60">
        <f>1*'Cadastro de Insumos'!$P$14</f>
        <v>0</v>
      </c>
      <c r="F15" s="57">
        <f>(B14*(1+$B$6)-1)*'Cadastro de Insumos'!$P$20</f>
        <v>3.0100000000000002</v>
      </c>
      <c r="G15" s="57">
        <f>(B14*(1+$B$6)-1)*'Cadastro de Insumos'!$P$24</f>
        <v>0</v>
      </c>
      <c r="H15" s="57">
        <f>(B14*(1+$B$6)-1)*'Cadastro de Insumos'!$P$28</f>
        <v>0</v>
      </c>
      <c r="I15" s="57">
        <f>($B$6-(SUM(F15:H15)))*'Cadastro de Insumos'!$P$34</f>
        <v>3.5939999999999999</v>
      </c>
      <c r="J15" s="57">
        <f>($B$6-(SUM(F15:H15)))*'Cadastro de Insumos'!$P$38</f>
        <v>2.3960000000000004</v>
      </c>
      <c r="K15" s="57">
        <f>($B$6-(SUM(F15:H15)))*'Cadastro de Insumos'!$P$42</f>
        <v>0</v>
      </c>
      <c r="L15" s="57">
        <f>($B$6-(SUM(F15:H15)))*'Cadastro de Insumos'!$P$46</f>
        <v>0</v>
      </c>
      <c r="M15" s="56">
        <f>IF(C15=0,"",('Escopo de Estudo'!$D$30/SUM('Ficha de Dosagem - G'!I15:L15))*C15)</f>
        <v>3.33889816360601</v>
      </c>
      <c r="N15" s="57" t="str">
        <f>IF(N11="","",('Escopo de Estudo'!$D$30/SUM('Ficha de Dosagem - G'!I15:L15))*D15)</f>
        <v/>
      </c>
      <c r="O15" s="58" t="str">
        <f>IF(O10="","",('Escopo de Estudo'!$D$30/SUM('Ficha de Dosagem - G'!I15:L15))*E15)</f>
        <v/>
      </c>
      <c r="P15" s="56">
        <f t="shared" si="1"/>
        <v>10.050083472454091</v>
      </c>
      <c r="Q15" s="72" t="str">
        <f>IF($Q$10="","",SUM(M15:O15)*G15)</f>
        <v/>
      </c>
      <c r="R15" s="55" t="str">
        <f>IF($R$10="","",SUM(M15:O15)*H15)</f>
        <v/>
      </c>
      <c r="S15" s="56" t="str">
        <f>IF('Cadastro de Insumos'!$O$52=FALSE,"",IF('Cadastro de Insumos'!$P$52=FALSE,(('Cadastro de Insumos'!$E$54*M15)/'Cadastro de Insumos'!$L$54)*1000,(('Cadastro de Insumos'!$E$54*M15)*1000)))</f>
        <v/>
      </c>
      <c r="T15" s="57" t="str">
        <f>IF('Cadastro de Insumos'!$O$56=FALSE,"",IF('Cadastro de Insumos'!$P$56=FALSE,(('Cadastro de Insumos'!$E$58*M15)/'Cadastro de Insumos'!$L$58)*1000,(('Cadastro de Insumos'!$E$58*M15)*1000)))</f>
        <v/>
      </c>
      <c r="U15" s="57" t="str">
        <f>IF('Cadastro de Insumos'!$O$60=FALSE,"",IF('Cadastro de Insumos'!$P$60=FALSE,(('Cadastro de Insumos'!$E$62*M15)/'Cadastro de Insumos'!$L$62)*1000,(('Cadastro de Insumos'!$E$62*M15)*1000)))</f>
        <v/>
      </c>
      <c r="V15" s="58" t="str">
        <f>IF('Cadastro de Insumos'!$O$64=FALSE,"",IF('Cadastro de Insumos'!$P$64=FALSE,(('Cadastro de Insumos'!$E$66*M15)/'Cadastro de Insumos'!$L$66)*1000,(('Cadastro de Insumos'!$E$66*M15)*1000)))</f>
        <v/>
      </c>
      <c r="W15" s="56" t="str">
        <f>IF('Cadastro de Insumos'!$O$70=FALSE,"",IF('Cadastro de Insumos'!$P$70=FALSE,(('Cadastro de Insumos'!$E$72*M15)/'Cadastro de Insumos'!$L$72)*1000,(('Cadastro de Insumos'!$E$72*M15)*1000)))</f>
        <v/>
      </c>
      <c r="X15" s="57" t="str">
        <f>IF('Cadastro de Insumos'!$O$74=FALSE,"",IF('Cadastro de Insumos'!$P$74=FALSE,(('Cadastro de Insumos'!$E$76*M15)/'Cadastro de Insumos'!$L$76)*1000,(('Cadastro de Insumos'!$E$76*M15)*1000)))</f>
        <v/>
      </c>
      <c r="Y15" s="57" t="str">
        <f>IF('Cadastro de Insumos'!$O$78=FALSE,"",IF('Cadastro de Insumos'!$P$78=FALSE,(('Cadastro de Insumos'!$E$80*M15)/'Cadastro de Insumos'!$L$80)*1000,(('Cadastro de Insumos'!$E$80*M15)*1000)))</f>
        <v/>
      </c>
      <c r="Z15" s="58" t="str">
        <f>IF('Cadastro de Insumos'!$O$82=FALSE,"",IF('Cadastro de Insumos'!$P$82=FALSE,(('Cadastro de Insumos'!$E$84*M15)/'Cadastro de Insumos'!$L$84)*1000,(('Cadastro de Insumos'!$E$84*M15)*1000)))</f>
        <v/>
      </c>
    </row>
    <row r="16" spans="2:26">
      <c r="B16" s="252">
        <f>B14+0.01</f>
        <v>0.54</v>
      </c>
      <c r="C16" s="50"/>
      <c r="D16" s="50"/>
      <c r="E16" s="50"/>
      <c r="F16" s="63"/>
      <c r="G16" s="63"/>
      <c r="H16" s="63"/>
      <c r="I16" s="63"/>
      <c r="J16" s="63"/>
      <c r="K16" s="63"/>
      <c r="L16" s="63"/>
      <c r="M16" s="64" t="str">
        <f>IF(M17="","","+"&amp;ROUND(M17-M15,3))</f>
        <v>+0,039</v>
      </c>
      <c r="N16" s="65" t="str">
        <f>IF(N17="","","+"&amp;ROUND(N17-N15,3))</f>
        <v/>
      </c>
      <c r="O16" s="66" t="str">
        <f>IF(O17="","","+"&amp;ROUND(O17-O15,3))</f>
        <v/>
      </c>
      <c r="P16" s="64" t="str">
        <f t="shared" ref="P16:Z16" si="3">IF(P17="","","+"&amp;ROUND(P17-P15,3))</f>
        <v>+0,355</v>
      </c>
      <c r="Q16" s="65" t="str">
        <f t="shared" si="3"/>
        <v/>
      </c>
      <c r="R16" s="67" t="str">
        <f t="shared" si="3"/>
        <v/>
      </c>
      <c r="S16" s="64" t="str">
        <f t="shared" si="3"/>
        <v/>
      </c>
      <c r="T16" s="65" t="str">
        <f t="shared" si="3"/>
        <v/>
      </c>
      <c r="U16" s="65" t="str">
        <f t="shared" si="3"/>
        <v/>
      </c>
      <c r="V16" s="67" t="str">
        <f t="shared" si="3"/>
        <v/>
      </c>
      <c r="W16" s="64" t="str">
        <f t="shared" si="3"/>
        <v/>
      </c>
      <c r="X16" s="65" t="str">
        <f t="shared" si="3"/>
        <v/>
      </c>
      <c r="Y16" s="65" t="str">
        <f t="shared" si="3"/>
        <v/>
      </c>
      <c r="Z16" s="67" t="str">
        <f t="shared" si="3"/>
        <v/>
      </c>
    </row>
    <row r="17" spans="2:26" ht="16.5" thickBot="1">
      <c r="B17" s="253"/>
      <c r="C17" s="60">
        <f>1*'Cadastro de Insumos'!$P$6</f>
        <v>1</v>
      </c>
      <c r="D17" s="60">
        <f>1*'Cadastro de Insumos'!$P$10</f>
        <v>0</v>
      </c>
      <c r="E17" s="60">
        <f>1*'Cadastro de Insumos'!$P$14</f>
        <v>0</v>
      </c>
      <c r="F17" s="57">
        <f>(B16*(1+$B$6)-1)*'Cadastro de Insumos'!$P$20</f>
        <v>3.08</v>
      </c>
      <c r="G17" s="57">
        <f>(B16*(1+$B$6)-1)*'Cadastro de Insumos'!$P$24</f>
        <v>0</v>
      </c>
      <c r="H17" s="57">
        <f>(B16*(1+$B$6)-1)*'Cadastro de Insumos'!$P$28</f>
        <v>0</v>
      </c>
      <c r="I17" s="57">
        <f>($B$6-(SUM(F17:H17)))*'Cadastro de Insumos'!$P$34</f>
        <v>3.552</v>
      </c>
      <c r="J17" s="57">
        <f>($B$6-(SUM(F17:H17)))*'Cadastro de Insumos'!$P$38</f>
        <v>2.3679999999999999</v>
      </c>
      <c r="K17" s="57">
        <f>($B$6-(SUM(F17:H17)))*'Cadastro de Insumos'!$P$42</f>
        <v>0</v>
      </c>
      <c r="L17" s="57">
        <f>($B$6-(SUM(F17:H17)))*'Cadastro de Insumos'!$P$46</f>
        <v>0</v>
      </c>
      <c r="M17" s="56">
        <f>IF(C17=0,"",('Escopo de Estudo'!$D$30/SUM('Ficha de Dosagem - G'!I17:L17))*C17)</f>
        <v>3.3783783783783785</v>
      </c>
      <c r="N17" s="57" t="str">
        <f>IF(N10="","",('Escopo de Estudo'!$D$30/SUM('Ficha de Dosagem - G'!I17:L17))*D17)</f>
        <v/>
      </c>
      <c r="O17" s="58" t="str">
        <f>IF(O10="","",('Escopo de Estudo'!$D$30/SUM('Ficha de Dosagem - G'!I17:L17))*E17)</f>
        <v/>
      </c>
      <c r="P17" s="56">
        <f t="shared" si="1"/>
        <v>10.405405405405405</v>
      </c>
      <c r="Q17" s="72" t="str">
        <f>IF($Q$10="","",SUM(M17:O17)*G17)</f>
        <v/>
      </c>
      <c r="R17" s="55" t="str">
        <f>IF($R$10="","",SUM(M17:O17)*H17)</f>
        <v/>
      </c>
      <c r="S17" s="56" t="str">
        <f>IF('Cadastro de Insumos'!$O$52=FALSE,"",IF('Cadastro de Insumos'!$P$52=FALSE,(('Cadastro de Insumos'!$E$54*M17)/'Cadastro de Insumos'!$L$54)*1000,(('Cadastro de Insumos'!$E$54*M17)*1000)))</f>
        <v/>
      </c>
      <c r="T17" s="57" t="str">
        <f>IF('Cadastro de Insumos'!$O$56=FALSE,"",IF('Cadastro de Insumos'!$P$56=FALSE,(('Cadastro de Insumos'!$E$58*M17)/'Cadastro de Insumos'!$L$58)*1000,(('Cadastro de Insumos'!$E$58*M17)*1000)))</f>
        <v/>
      </c>
      <c r="U17" s="57" t="str">
        <f>IF('Cadastro de Insumos'!$O$60=FALSE,"",IF('Cadastro de Insumos'!$P$60=FALSE,(('Cadastro de Insumos'!$E$62*M17)/'Cadastro de Insumos'!$L$62)*1000,(('Cadastro de Insumos'!$E$62*M17)*1000)))</f>
        <v/>
      </c>
      <c r="V17" s="58" t="str">
        <f>IF('Cadastro de Insumos'!$O$64=FALSE,"",IF('Cadastro de Insumos'!$P$64=FALSE,(('Cadastro de Insumos'!$E$66*M17)/'Cadastro de Insumos'!$L$66)*1000,(('Cadastro de Insumos'!$E$66*M17)*1000)))</f>
        <v/>
      </c>
      <c r="W17" s="56" t="str">
        <f>IF('Cadastro de Insumos'!$O$70=FALSE,"",IF('Cadastro de Insumos'!$P$70=FALSE,(('Cadastro de Insumos'!$E$72*M17)/'Cadastro de Insumos'!$L$72)*1000,(('Cadastro de Insumos'!$E$72*M17)*1000)))</f>
        <v/>
      </c>
      <c r="X17" s="57" t="str">
        <f>IF('Cadastro de Insumos'!$O$74=FALSE,"",IF('Cadastro de Insumos'!$P$74=FALSE,(('Cadastro de Insumos'!$E$76*M17)/'Cadastro de Insumos'!$L$76)*1000,(('Cadastro de Insumos'!$E$76*M17)*1000)))</f>
        <v/>
      </c>
      <c r="Y17" s="57" t="str">
        <f>IF('Cadastro de Insumos'!$O$78=FALSE,"",IF('Cadastro de Insumos'!$P$78=FALSE,(('Cadastro de Insumos'!$E$80*M17)/'Cadastro de Insumos'!$L$80)*1000,(('Cadastro de Insumos'!$E$80*M17)*1000)))</f>
        <v/>
      </c>
      <c r="Z17" s="58" t="str">
        <f>IF('Cadastro de Insumos'!$O$82=FALSE,"",IF('Cadastro de Insumos'!$P$82=FALSE,(('Cadastro de Insumos'!$E$84*M17)/'Cadastro de Insumos'!$L$84)*1000,(('Cadastro de Insumos'!$E$84*M17)*1000)))</f>
        <v/>
      </c>
    </row>
    <row r="18" spans="2:26">
      <c r="B18" s="252">
        <f>B16+0.01</f>
        <v>0.55000000000000004</v>
      </c>
      <c r="C18" s="50"/>
      <c r="D18" s="50"/>
      <c r="E18" s="50"/>
      <c r="F18" s="63"/>
      <c r="G18" s="63"/>
      <c r="H18" s="63"/>
      <c r="I18" s="63"/>
      <c r="J18" s="63"/>
      <c r="K18" s="63"/>
      <c r="L18" s="63"/>
      <c r="M18" s="64" t="str">
        <f>IF(M19="","","+"&amp;ROUND(M19-M17,3))</f>
        <v>+0,04</v>
      </c>
      <c r="N18" s="65" t="str">
        <f>IF(N19="","","+"&amp;ROUND(N19-N17,3))</f>
        <v/>
      </c>
      <c r="O18" s="66" t="str">
        <f>IF(O19="","","+"&amp;ROUND(O19-O17,3))</f>
        <v/>
      </c>
      <c r="P18" s="64" t="str">
        <f t="shared" ref="P18:Z18" si="4">IF(P19="","","+"&amp;ROUND(P19-P17,3))</f>
        <v>+0,364</v>
      </c>
      <c r="Q18" s="65" t="str">
        <f t="shared" si="4"/>
        <v/>
      </c>
      <c r="R18" s="67" t="str">
        <f t="shared" si="4"/>
        <v/>
      </c>
      <c r="S18" s="64" t="str">
        <f t="shared" si="4"/>
        <v/>
      </c>
      <c r="T18" s="65" t="str">
        <f t="shared" si="4"/>
        <v/>
      </c>
      <c r="U18" s="65" t="str">
        <f t="shared" si="4"/>
        <v/>
      </c>
      <c r="V18" s="67" t="str">
        <f t="shared" si="4"/>
        <v/>
      </c>
      <c r="W18" s="64" t="str">
        <f t="shared" si="4"/>
        <v/>
      </c>
      <c r="X18" s="65" t="str">
        <f t="shared" si="4"/>
        <v/>
      </c>
      <c r="Y18" s="65" t="str">
        <f t="shared" si="4"/>
        <v/>
      </c>
      <c r="Z18" s="67" t="str">
        <f t="shared" si="4"/>
        <v/>
      </c>
    </row>
    <row r="19" spans="2:26" ht="16.5" thickBot="1">
      <c r="B19" s="253"/>
      <c r="C19" s="60">
        <f>1*'Cadastro de Insumos'!$P$6</f>
        <v>1</v>
      </c>
      <c r="D19" s="60">
        <f>1*'Cadastro de Insumos'!$P$10</f>
        <v>0</v>
      </c>
      <c r="E19" s="60">
        <f>1*'Cadastro de Insumos'!$P$14</f>
        <v>0</v>
      </c>
      <c r="F19" s="57">
        <f>(B18*(1+$B$6)-1)*'Cadastro de Insumos'!$P$20</f>
        <v>3.15</v>
      </c>
      <c r="G19" s="57">
        <f>(B18*(1+$B$6)-1)*'Cadastro de Insumos'!$P$24</f>
        <v>0</v>
      </c>
      <c r="H19" s="57">
        <f>(B18*(1+$B$6)-1)*'Cadastro de Insumos'!$P$28</f>
        <v>0</v>
      </c>
      <c r="I19" s="57">
        <f>($B$6-(SUM(F19:H19)))*'Cadastro de Insumos'!$P$34</f>
        <v>3.51</v>
      </c>
      <c r="J19" s="57">
        <f>($B$6-(SUM(F19:H19)))*'Cadastro de Insumos'!$P$38</f>
        <v>2.34</v>
      </c>
      <c r="K19" s="57">
        <f>($B$6-(SUM(F19:H19)))*'Cadastro de Insumos'!$P$42</f>
        <v>0</v>
      </c>
      <c r="L19" s="57">
        <f>($B$6-(SUM(F19:H19)))*'Cadastro de Insumos'!$P$46</f>
        <v>0</v>
      </c>
      <c r="M19" s="56">
        <f>IF(C19=0,"",('Escopo de Estudo'!$D$30/SUM('Ficha de Dosagem - G'!I19:L19))*C19)</f>
        <v>3.4188034188034191</v>
      </c>
      <c r="N19" s="57" t="str">
        <f>IF(N10="","",('Escopo de Estudo'!$D$30/SUM('Ficha de Dosagem - G'!I19:L19))*D19)</f>
        <v/>
      </c>
      <c r="O19" s="58" t="str">
        <f>IF(O10="","",('Escopo de Estudo'!$D$30/SUM('Ficha de Dosagem - G'!I19:L19))*E19)</f>
        <v/>
      </c>
      <c r="P19" s="56">
        <f t="shared" si="1"/>
        <v>10.76923076923077</v>
      </c>
      <c r="Q19" s="72" t="str">
        <f>IF($Q$10="","",SUM(M19:O19)*G19)</f>
        <v/>
      </c>
      <c r="R19" s="55" t="str">
        <f>IF($R$10="","",SUM(M19:O19)*H19)</f>
        <v/>
      </c>
      <c r="S19" s="56" t="str">
        <f>IF('Cadastro de Insumos'!$O$52=FALSE,"",IF('Cadastro de Insumos'!$P$52=FALSE,(('Cadastro de Insumos'!$E$54*M19)/'Cadastro de Insumos'!$L$54)*1000,(('Cadastro de Insumos'!$E$54*M19)*1000)))</f>
        <v/>
      </c>
      <c r="T19" s="57" t="str">
        <f>IF('Cadastro de Insumos'!$O$56=FALSE,"",IF('Cadastro de Insumos'!$P$56=FALSE,(('Cadastro de Insumos'!$E$58*M19)/'Cadastro de Insumos'!$L$58)*1000,(('Cadastro de Insumos'!$E$58*M19)*1000)))</f>
        <v/>
      </c>
      <c r="U19" s="57" t="str">
        <f>IF('Cadastro de Insumos'!$O$60=FALSE,"",IF('Cadastro de Insumos'!$P$60=FALSE,(('Cadastro de Insumos'!$E$62*M19)/'Cadastro de Insumos'!$L$62)*1000,(('Cadastro de Insumos'!$E$62*M19)*1000)))</f>
        <v/>
      </c>
      <c r="V19" s="58" t="str">
        <f>IF('Cadastro de Insumos'!$O$64=FALSE,"",IF('Cadastro de Insumos'!$P$64=FALSE,(('Cadastro de Insumos'!$E$66*M19)/'Cadastro de Insumos'!$L$66)*1000,(('Cadastro de Insumos'!$E$66*M19)*1000)))</f>
        <v/>
      </c>
      <c r="W19" s="56" t="str">
        <f>IF('Cadastro de Insumos'!$O$70=FALSE,"",IF('Cadastro de Insumos'!$P$70=FALSE,(('Cadastro de Insumos'!$E$72*M19)/'Cadastro de Insumos'!$L$72)*1000,(('Cadastro de Insumos'!$E$72*M19)*1000)))</f>
        <v/>
      </c>
      <c r="X19" s="57" t="str">
        <f>IF('Cadastro de Insumos'!$O$74=FALSE,"",IF('Cadastro de Insumos'!$P$74=FALSE,(('Cadastro de Insumos'!$E$76*M19)/'Cadastro de Insumos'!$L$76)*1000,(('Cadastro de Insumos'!$E$76*M19)*1000)))</f>
        <v/>
      </c>
      <c r="Y19" s="57" t="str">
        <f>IF('Cadastro de Insumos'!$O$78=FALSE,"",IF('Cadastro de Insumos'!$P$78=FALSE,(('Cadastro de Insumos'!$E$80*M19)/'Cadastro de Insumos'!$L$80)*1000,(('Cadastro de Insumos'!$E$80*M19)*1000)))</f>
        <v/>
      </c>
      <c r="Z19" s="58" t="str">
        <f>IF('Cadastro de Insumos'!$O$82=FALSE,"",IF('Cadastro de Insumos'!$P$82=FALSE,(('Cadastro de Insumos'!$E$84*M19)/'Cadastro de Insumos'!$L$84)*1000,(('Cadastro de Insumos'!$E$84*M19)*1000)))</f>
        <v/>
      </c>
    </row>
    <row r="20" spans="2:26">
      <c r="B20" s="252">
        <f>B18+0.01</f>
        <v>0.56000000000000005</v>
      </c>
      <c r="C20" s="50"/>
      <c r="D20" s="50"/>
      <c r="E20" s="50"/>
      <c r="F20" s="63"/>
      <c r="G20" s="63"/>
      <c r="H20" s="63"/>
      <c r="I20" s="63"/>
      <c r="J20" s="63"/>
      <c r="K20" s="63"/>
      <c r="L20" s="63"/>
      <c r="M20" s="64" t="str">
        <f>IF(M21="","","+"&amp;ROUND(M21-M19,3))</f>
        <v>+0,041</v>
      </c>
      <c r="N20" s="65" t="str">
        <f>IF(N21="","","+"&amp;ROUND(N21-N19,3))</f>
        <v/>
      </c>
      <c r="O20" s="66" t="str">
        <f>IF(O21="","","+"&amp;ROUND(O21-O19,3))</f>
        <v/>
      </c>
      <c r="P20" s="64" t="str">
        <f t="shared" ref="P20:Z20" si="5">IF(P21="","","+"&amp;ROUND(P21-P19,3))</f>
        <v>+0,373</v>
      </c>
      <c r="Q20" s="65" t="str">
        <f t="shared" si="5"/>
        <v/>
      </c>
      <c r="R20" s="67" t="str">
        <f t="shared" si="5"/>
        <v/>
      </c>
      <c r="S20" s="64" t="str">
        <f t="shared" si="5"/>
        <v/>
      </c>
      <c r="T20" s="65" t="str">
        <f t="shared" si="5"/>
        <v/>
      </c>
      <c r="U20" s="65" t="str">
        <f t="shared" si="5"/>
        <v/>
      </c>
      <c r="V20" s="67" t="str">
        <f t="shared" si="5"/>
        <v/>
      </c>
      <c r="W20" s="64" t="str">
        <f t="shared" si="5"/>
        <v/>
      </c>
      <c r="X20" s="65" t="str">
        <f t="shared" si="5"/>
        <v/>
      </c>
      <c r="Y20" s="65" t="str">
        <f t="shared" si="5"/>
        <v/>
      </c>
      <c r="Z20" s="67" t="str">
        <f t="shared" si="5"/>
        <v/>
      </c>
    </row>
    <row r="21" spans="2:26" ht="16.5" thickBot="1">
      <c r="B21" s="253"/>
      <c r="C21" s="60">
        <f>1*'Cadastro de Insumos'!$P$6</f>
        <v>1</v>
      </c>
      <c r="D21" s="60">
        <f>1*'Cadastro de Insumos'!$P$10</f>
        <v>0</v>
      </c>
      <c r="E21" s="60">
        <f>1*'Cadastro de Insumos'!$P$14</f>
        <v>0</v>
      </c>
      <c r="F21" s="57">
        <f>(B20*(1+$B$6)-1)*'Cadastro de Insumos'!$P$20</f>
        <v>3.22</v>
      </c>
      <c r="G21" s="57">
        <f>(B20*(1+$B$6)-1)*'Cadastro de Insumos'!$P$24</f>
        <v>0</v>
      </c>
      <c r="H21" s="57">
        <f>(B20*(1+$B$6)-1)*'Cadastro de Insumos'!$P$28</f>
        <v>0</v>
      </c>
      <c r="I21" s="57">
        <f>($B$6-(SUM(F21:H21)))*'Cadastro de Insumos'!$P$34</f>
        <v>3.4679999999999995</v>
      </c>
      <c r="J21" s="57">
        <f>($B$6-(SUM(F21:H21)))*'Cadastro de Insumos'!$P$38</f>
        <v>2.3119999999999998</v>
      </c>
      <c r="K21" s="57">
        <f>($B$6-(SUM(F21:H21)))*'Cadastro de Insumos'!$P$42</f>
        <v>0</v>
      </c>
      <c r="L21" s="57">
        <f>($B$6-(SUM(F21:H21)))*'Cadastro de Insumos'!$P$46</f>
        <v>0</v>
      </c>
      <c r="M21" s="56">
        <f>IF(C21=0,"",('Escopo de Estudo'!$D$30/SUM('Ficha de Dosagem - G'!I21:L21))*C21)</f>
        <v>3.4602076124567476</v>
      </c>
      <c r="N21" s="57" t="str">
        <f>IF(N10="","",('Escopo de Estudo'!$D$30/SUM('Ficha de Dosagem - G'!I21:L21))*D21)</f>
        <v/>
      </c>
      <c r="O21" s="58" t="str">
        <f>IF(O10="","",('Escopo de Estudo'!$D$30/SUM('Ficha de Dosagem - G'!I21:L21))*E21)</f>
        <v/>
      </c>
      <c r="P21" s="56">
        <f t="shared" si="1"/>
        <v>11.141868512110728</v>
      </c>
      <c r="Q21" s="72" t="str">
        <f>IF($Q$10="","",SUM(M21:O21)*G21)</f>
        <v/>
      </c>
      <c r="R21" s="55" t="str">
        <f>IF($R$10="","",SUM(M21:O21)*H21)</f>
        <v/>
      </c>
      <c r="S21" s="56" t="str">
        <f>IF('Cadastro de Insumos'!$O$52=FALSE,"",IF('Cadastro de Insumos'!$P$52=FALSE,(('Cadastro de Insumos'!$E$54*M21)/'Cadastro de Insumos'!$L$54)*1000,(('Cadastro de Insumos'!$E$54*M21)*1000)))</f>
        <v/>
      </c>
      <c r="T21" s="57" t="str">
        <f>IF('Cadastro de Insumos'!$O$56=FALSE,"",IF('Cadastro de Insumos'!$P$56=FALSE,(('Cadastro de Insumos'!$E$58*M21)/'Cadastro de Insumos'!$L$58)*1000,(('Cadastro de Insumos'!$E$58*M21)*1000)))</f>
        <v/>
      </c>
      <c r="U21" s="57" t="str">
        <f>IF('Cadastro de Insumos'!$O$60=FALSE,"",IF('Cadastro de Insumos'!$P$60=FALSE,(('Cadastro de Insumos'!$E$62*M21)/'Cadastro de Insumos'!$L$62)*1000,(('Cadastro de Insumos'!$E$62*M21)*1000)))</f>
        <v/>
      </c>
      <c r="V21" s="58" t="str">
        <f>IF('Cadastro de Insumos'!$O$64=FALSE,"",IF('Cadastro de Insumos'!$P$64=FALSE,(('Cadastro de Insumos'!$E$66*M21)/'Cadastro de Insumos'!$L$66)*1000,(('Cadastro de Insumos'!$E$66*M21)*1000)))</f>
        <v/>
      </c>
      <c r="W21" s="56" t="str">
        <f>IF('Cadastro de Insumos'!$O$70=FALSE,"",IF('Cadastro de Insumos'!$P$70=FALSE,(('Cadastro de Insumos'!$E$72*M21)/'Cadastro de Insumos'!$L$72)*1000,(('Cadastro de Insumos'!$E$72*M21)*1000)))</f>
        <v/>
      </c>
      <c r="X21" s="57" t="str">
        <f>IF('Cadastro de Insumos'!$O$74=FALSE,"",IF('Cadastro de Insumos'!$P$74=FALSE,(('Cadastro de Insumos'!$E$76*M21)/'Cadastro de Insumos'!$L$76)*1000,(('Cadastro de Insumos'!$E$76*M21)*1000)))</f>
        <v/>
      </c>
      <c r="Y21" s="57" t="str">
        <f>IF('Cadastro de Insumos'!$O$78=FALSE,"",IF('Cadastro de Insumos'!$P$78=FALSE,(('Cadastro de Insumos'!$E$80*M21)/'Cadastro de Insumos'!$L$80)*1000,(('Cadastro de Insumos'!$E$80*M21)*1000)))</f>
        <v/>
      </c>
      <c r="Z21" s="58" t="str">
        <f>IF('Cadastro de Insumos'!$O$82=FALSE,"",IF('Cadastro de Insumos'!$P$82=FALSE,(('Cadastro de Insumos'!$E$84*M21)/'Cadastro de Insumos'!$L$84)*1000,(('Cadastro de Insumos'!$E$84*M21)*1000)))</f>
        <v/>
      </c>
    </row>
    <row r="22" spans="2:26">
      <c r="B22" s="252">
        <f>B20+0.01</f>
        <v>0.57000000000000006</v>
      </c>
      <c r="C22" s="50"/>
      <c r="D22" s="50"/>
      <c r="E22" s="50"/>
      <c r="F22" s="63"/>
      <c r="G22" s="63"/>
      <c r="H22" s="63"/>
      <c r="I22" s="63"/>
      <c r="J22" s="63"/>
      <c r="K22" s="63"/>
      <c r="L22" s="63"/>
      <c r="M22" s="64" t="str">
        <f>IF(M23="","","+"&amp;ROUND(M23-M21,3))</f>
        <v>+0,042</v>
      </c>
      <c r="N22" s="65" t="str">
        <f>IF(N23="","","+"&amp;ROUND(N23-N21,3))</f>
        <v/>
      </c>
      <c r="O22" s="66" t="str">
        <f>IF(O23="","","+"&amp;ROUND(O23-O21,3))</f>
        <v/>
      </c>
      <c r="P22" s="64" t="str">
        <f t="shared" ref="P22:Z22" si="6">IF(P23="","","+"&amp;ROUND(P23-P21,3))</f>
        <v>+0,382</v>
      </c>
      <c r="Q22" s="65" t="str">
        <f t="shared" si="6"/>
        <v/>
      </c>
      <c r="R22" s="67" t="str">
        <f t="shared" si="6"/>
        <v/>
      </c>
      <c r="S22" s="64" t="str">
        <f t="shared" si="6"/>
        <v/>
      </c>
      <c r="T22" s="65" t="str">
        <f t="shared" si="6"/>
        <v/>
      </c>
      <c r="U22" s="65" t="str">
        <f t="shared" si="6"/>
        <v/>
      </c>
      <c r="V22" s="67" t="str">
        <f t="shared" si="6"/>
        <v/>
      </c>
      <c r="W22" s="64" t="str">
        <f t="shared" si="6"/>
        <v/>
      </c>
      <c r="X22" s="65" t="str">
        <f t="shared" si="6"/>
        <v/>
      </c>
      <c r="Y22" s="65" t="str">
        <f t="shared" si="6"/>
        <v/>
      </c>
      <c r="Z22" s="67" t="str">
        <f t="shared" si="6"/>
        <v/>
      </c>
    </row>
    <row r="23" spans="2:26" ht="16.5" thickBot="1">
      <c r="B23" s="253"/>
      <c r="C23" s="60">
        <f>1*'Cadastro de Insumos'!$P$6</f>
        <v>1</v>
      </c>
      <c r="D23" s="60">
        <f>1*'Cadastro de Insumos'!$P$10</f>
        <v>0</v>
      </c>
      <c r="E23" s="60">
        <f>1*'Cadastro de Insumos'!$P$14</f>
        <v>0</v>
      </c>
      <c r="F23" s="57">
        <f>(B22*(1+$B$6)-1)*'Cadastro de Insumos'!$P$20</f>
        <v>3.2900000000000005</v>
      </c>
      <c r="G23" s="57">
        <f>(B22*(1+$B$6)-1)*'Cadastro de Insumos'!$P$24</f>
        <v>0</v>
      </c>
      <c r="H23" s="57">
        <f>(B22*(1+$B$6)-1)*'Cadastro de Insumos'!$P$28</f>
        <v>0</v>
      </c>
      <c r="I23" s="57">
        <f>($B$6-(SUM(F23:H23)))*'Cadastro de Insumos'!$P$34</f>
        <v>3.4259999999999993</v>
      </c>
      <c r="J23" s="57">
        <f>($B$6-(SUM(F23:H23)))*'Cadastro de Insumos'!$P$38</f>
        <v>2.2839999999999998</v>
      </c>
      <c r="K23" s="57">
        <f>($B$6-(SUM(F23:H23)))*'Cadastro de Insumos'!$P$42</f>
        <v>0</v>
      </c>
      <c r="L23" s="57">
        <f>($B$6-(SUM(F23:H23)))*'Cadastro de Insumos'!$P$46</f>
        <v>0</v>
      </c>
      <c r="M23" s="56">
        <f>IF(C23=0,"",('Escopo de Estudo'!$D$30/SUM('Ficha de Dosagem - G'!I23:L23))*C23)</f>
        <v>3.5026269702276713</v>
      </c>
      <c r="N23" s="57" t="str">
        <f>IF(N10="","",('Escopo de Estudo'!$D$30/SUM('Ficha de Dosagem - G'!I23:L23))*D23)</f>
        <v/>
      </c>
      <c r="O23" s="58" t="str">
        <f>IF(O10="","",('Escopo de Estudo'!$D$30/SUM('Ficha de Dosagem - G'!I23:L23))*E23)</f>
        <v/>
      </c>
      <c r="P23" s="56">
        <f t="shared" si="1"/>
        <v>11.523642732049041</v>
      </c>
      <c r="Q23" s="72" t="str">
        <f>IF($Q$10="","",SUM(M23:O23)*G23)</f>
        <v/>
      </c>
      <c r="R23" s="55" t="str">
        <f>IF($R$10="","",SUM(M23:O23)*H23)</f>
        <v/>
      </c>
      <c r="S23" s="56" t="str">
        <f>IF('Cadastro de Insumos'!$O$52=FALSE,"",IF('Cadastro de Insumos'!$P$52=FALSE,(('Cadastro de Insumos'!$E$54*M23)/'Cadastro de Insumos'!$L$54)*1000,(('Cadastro de Insumos'!$E$54*M23)*1000)))</f>
        <v/>
      </c>
      <c r="T23" s="57" t="str">
        <f>IF('Cadastro de Insumos'!$O$56=FALSE,"",IF('Cadastro de Insumos'!$P$56=FALSE,(('Cadastro de Insumos'!$E$58*M23)/'Cadastro de Insumos'!$L$58)*1000,(('Cadastro de Insumos'!$E$58*M23)*1000)))</f>
        <v/>
      </c>
      <c r="U23" s="57" t="str">
        <f>IF('Cadastro de Insumos'!$O$60=FALSE,"",IF('Cadastro de Insumos'!$P$60=FALSE,(('Cadastro de Insumos'!$E$62*M23)/'Cadastro de Insumos'!$L$62)*1000,(('Cadastro de Insumos'!$E$62*M23)*1000)))</f>
        <v/>
      </c>
      <c r="V23" s="58" t="str">
        <f>IF('Cadastro de Insumos'!$O$64=FALSE,"",IF('Cadastro de Insumos'!$P$64=FALSE,(('Cadastro de Insumos'!$E$66*M23)/'Cadastro de Insumos'!$L$66)*1000,(('Cadastro de Insumos'!$E$66*M23)*1000)))</f>
        <v/>
      </c>
      <c r="W23" s="56" t="str">
        <f>IF('Cadastro de Insumos'!$O$70=FALSE,"",IF('Cadastro de Insumos'!$P$70=FALSE,(('Cadastro de Insumos'!$E$72*M23)/'Cadastro de Insumos'!$L$72)*1000,(('Cadastro de Insumos'!$E$72*M23)*1000)))</f>
        <v/>
      </c>
      <c r="X23" s="57" t="str">
        <f>IF('Cadastro de Insumos'!$O$74=FALSE,"",IF('Cadastro de Insumos'!$P$74=FALSE,(('Cadastro de Insumos'!$E$76*M23)/'Cadastro de Insumos'!$L$76)*1000,(('Cadastro de Insumos'!$E$76*M23)*1000)))</f>
        <v/>
      </c>
      <c r="Y23" s="57" t="str">
        <f>IF('Cadastro de Insumos'!$O$78=FALSE,"",IF('Cadastro de Insumos'!$P$78=FALSE,(('Cadastro de Insumos'!$E$80*M23)/'Cadastro de Insumos'!$L$80)*1000,(('Cadastro de Insumos'!$E$80*M23)*1000)))</f>
        <v/>
      </c>
      <c r="Z23" s="58" t="str">
        <f>IF('Cadastro de Insumos'!$O$82=FALSE,"",IF('Cadastro de Insumos'!$P$82=FALSE,(('Cadastro de Insumos'!$E$84*M23)/'Cadastro de Insumos'!$L$84)*1000,(('Cadastro de Insumos'!$E$84*M23)*1000)))</f>
        <v/>
      </c>
    </row>
    <row r="24" spans="2:26">
      <c r="B24" s="252">
        <f>B22+0.01</f>
        <v>0.58000000000000007</v>
      </c>
      <c r="C24" s="50"/>
      <c r="D24" s="50"/>
      <c r="E24" s="50"/>
      <c r="F24" s="63"/>
      <c r="G24" s="63"/>
      <c r="H24" s="63"/>
      <c r="I24" s="63"/>
      <c r="J24" s="63"/>
      <c r="K24" s="63"/>
      <c r="L24" s="63"/>
      <c r="M24" s="64" t="str">
        <f>IF(M25="","","+"&amp;ROUND(M25-M23,3))</f>
        <v>+0,043</v>
      </c>
      <c r="N24" s="65" t="str">
        <f>IF(N25="","","+"&amp;ROUND(N25-N23,3))</f>
        <v/>
      </c>
      <c r="O24" s="66" t="str">
        <f>IF(O25="","","+"&amp;ROUND(O25-O23,3))</f>
        <v/>
      </c>
      <c r="P24" s="64" t="str">
        <f t="shared" ref="P24:Z24" si="7">IF(P25="","","+"&amp;ROUND(P25-P23,3))</f>
        <v>+0,391</v>
      </c>
      <c r="Q24" s="65" t="str">
        <f t="shared" si="7"/>
        <v/>
      </c>
      <c r="R24" s="67" t="str">
        <f t="shared" si="7"/>
        <v/>
      </c>
      <c r="S24" s="64" t="str">
        <f t="shared" si="7"/>
        <v/>
      </c>
      <c r="T24" s="65" t="str">
        <f t="shared" si="7"/>
        <v/>
      </c>
      <c r="U24" s="65" t="str">
        <f t="shared" si="7"/>
        <v/>
      </c>
      <c r="V24" s="67" t="str">
        <f t="shared" si="7"/>
        <v/>
      </c>
      <c r="W24" s="64" t="str">
        <f t="shared" si="7"/>
        <v/>
      </c>
      <c r="X24" s="65" t="str">
        <f t="shared" si="7"/>
        <v/>
      </c>
      <c r="Y24" s="65" t="str">
        <f t="shared" si="7"/>
        <v/>
      </c>
      <c r="Z24" s="67" t="str">
        <f t="shared" si="7"/>
        <v/>
      </c>
    </row>
    <row r="25" spans="2:26" ht="16.5" thickBot="1">
      <c r="B25" s="253"/>
      <c r="C25" s="60">
        <f>1*'Cadastro de Insumos'!$P$6</f>
        <v>1</v>
      </c>
      <c r="D25" s="60">
        <f>1*'Cadastro de Insumos'!$P$10</f>
        <v>0</v>
      </c>
      <c r="E25" s="60">
        <f>1*'Cadastro de Insumos'!$P$14</f>
        <v>0</v>
      </c>
      <c r="F25" s="57">
        <f>(B24*(1+$B$6)-1)*'Cadastro de Insumos'!$P$20</f>
        <v>3.3600000000000003</v>
      </c>
      <c r="G25" s="57">
        <f>(B24*(1+$B$6)-1)*'Cadastro de Insumos'!$P$24</f>
        <v>0</v>
      </c>
      <c r="H25" s="57">
        <f>(B24*(1+$B$6)-1)*'Cadastro de Insumos'!$P$28</f>
        <v>0</v>
      </c>
      <c r="I25" s="57">
        <f>($B$6-(SUM(F25:H25)))*'Cadastro de Insumos'!$P$34</f>
        <v>3.3839999999999999</v>
      </c>
      <c r="J25" s="57">
        <f>($B$6-(SUM(F25:H25)))*'Cadastro de Insumos'!$P$38</f>
        <v>2.2559999999999998</v>
      </c>
      <c r="K25" s="57">
        <f>($B$6-(SUM(F25:H25)))*'Cadastro de Insumos'!$P$42</f>
        <v>0</v>
      </c>
      <c r="L25" s="57">
        <f>($B$6-(SUM(F25:H25)))*'Cadastro de Insumos'!$P$46</f>
        <v>0</v>
      </c>
      <c r="M25" s="56">
        <f>IF(C25=0,"",('Escopo de Estudo'!$D$30/SUM('Ficha de Dosagem - G'!I25:L25))*C25)</f>
        <v>3.5460992907801421</v>
      </c>
      <c r="N25" s="57" t="str">
        <f>IF(N10="","",('Escopo de Estudo'!$D$30/SUM('Ficha de Dosagem - G'!I25:L25))*D25)</f>
        <v/>
      </c>
      <c r="O25" s="58" t="str">
        <f>IF(O10="","",('Escopo de Estudo'!$D$30/SUM('Ficha de Dosagem - G'!I25:L25))*E25)</f>
        <v/>
      </c>
      <c r="P25" s="56">
        <f t="shared" si="1"/>
        <v>11.914893617021278</v>
      </c>
      <c r="Q25" s="72" t="str">
        <f>IF($Q$10="","",SUM(M25:O25)*G25)</f>
        <v/>
      </c>
      <c r="R25" s="55" t="str">
        <f>IF($R$10="","",SUM(M25:O25)*H25)</f>
        <v/>
      </c>
      <c r="S25" s="56" t="str">
        <f>IF('Cadastro de Insumos'!$O$52=FALSE,"",IF('Cadastro de Insumos'!$P$52=FALSE,(('Cadastro de Insumos'!$E$54*M25)/'Cadastro de Insumos'!$L$54)*1000,(('Cadastro de Insumos'!$E$54*M25)*1000)))</f>
        <v/>
      </c>
      <c r="T25" s="57" t="str">
        <f>IF('Cadastro de Insumos'!$O$56=FALSE,"",IF('Cadastro de Insumos'!$P$56=FALSE,(('Cadastro de Insumos'!$E$58*M25)/'Cadastro de Insumos'!$L$58)*1000,(('Cadastro de Insumos'!$E$58*M25)*1000)))</f>
        <v/>
      </c>
      <c r="U25" s="57" t="str">
        <f>IF('Cadastro de Insumos'!$O$60=FALSE,"",IF('Cadastro de Insumos'!$P$60=FALSE,(('Cadastro de Insumos'!$E$62*M25)/'Cadastro de Insumos'!$L$62)*1000,(('Cadastro de Insumos'!$E$62*M25)*1000)))</f>
        <v/>
      </c>
      <c r="V25" s="58" t="str">
        <f>IF('Cadastro de Insumos'!$O$64=FALSE,"",IF('Cadastro de Insumos'!$P$64=FALSE,(('Cadastro de Insumos'!$E$66*M25)/'Cadastro de Insumos'!$L$66)*1000,(('Cadastro de Insumos'!$E$66*M25)*1000)))</f>
        <v/>
      </c>
      <c r="W25" s="56" t="str">
        <f>IF('Cadastro de Insumos'!$O$70=FALSE,"",IF('Cadastro de Insumos'!$P$70=FALSE,(('Cadastro de Insumos'!$E$72*M25)/'Cadastro de Insumos'!$L$72)*1000,(('Cadastro de Insumos'!$E$72*M25)*1000)))</f>
        <v/>
      </c>
      <c r="X25" s="57" t="str">
        <f>IF('Cadastro de Insumos'!$O$74=FALSE,"",IF('Cadastro de Insumos'!$P$74=FALSE,(('Cadastro de Insumos'!$E$76*M25)/'Cadastro de Insumos'!$L$76)*1000,(('Cadastro de Insumos'!$E$76*M25)*1000)))</f>
        <v/>
      </c>
      <c r="Y25" s="57" t="str">
        <f>IF('Cadastro de Insumos'!$O$78=FALSE,"",IF('Cadastro de Insumos'!$P$78=FALSE,(('Cadastro de Insumos'!$E$80*M25)/'Cadastro de Insumos'!$L$80)*1000,(('Cadastro de Insumos'!$E$80*M25)*1000)))</f>
        <v/>
      </c>
      <c r="Z25" s="58" t="str">
        <f>IF('Cadastro de Insumos'!$O$82=FALSE,"",IF('Cadastro de Insumos'!$P$82=FALSE,(('Cadastro de Insumos'!$E$84*M25)/'Cadastro de Insumos'!$L$84)*1000,(('Cadastro de Insumos'!$E$84*M25)*1000)))</f>
        <v/>
      </c>
    </row>
    <row r="26" spans="2:26">
      <c r="B26" s="252">
        <f>B24+0.01</f>
        <v>0.59000000000000008</v>
      </c>
      <c r="C26" s="50"/>
      <c r="D26" s="50"/>
      <c r="E26" s="50"/>
      <c r="F26" s="63"/>
      <c r="G26" s="63"/>
      <c r="H26" s="63"/>
      <c r="I26" s="63"/>
      <c r="J26" s="63"/>
      <c r="K26" s="63"/>
      <c r="L26" s="63"/>
      <c r="M26" s="64" t="str">
        <f>IF(M27="","","+"&amp;ROUND(M27-M25,3))</f>
        <v>+0,045</v>
      </c>
      <c r="N26" s="65" t="str">
        <f>IF(N27="","","+"&amp;ROUND(N27-N25,3))</f>
        <v/>
      </c>
      <c r="O26" s="66" t="str">
        <f>IF(O27="","","+"&amp;ROUND(O27-O25,3))</f>
        <v/>
      </c>
      <c r="P26" s="64" t="str">
        <f t="shared" ref="P26:Z26" si="8">IF(P27="","","+"&amp;ROUND(P27-P25,3))</f>
        <v>+0,401</v>
      </c>
      <c r="Q26" s="65" t="str">
        <f t="shared" si="8"/>
        <v/>
      </c>
      <c r="R26" s="67" t="str">
        <f t="shared" si="8"/>
        <v/>
      </c>
      <c r="S26" s="64" t="str">
        <f t="shared" si="8"/>
        <v/>
      </c>
      <c r="T26" s="65" t="str">
        <f t="shared" si="8"/>
        <v/>
      </c>
      <c r="U26" s="65" t="str">
        <f t="shared" si="8"/>
        <v/>
      </c>
      <c r="V26" s="67" t="str">
        <f t="shared" si="8"/>
        <v/>
      </c>
      <c r="W26" s="64" t="str">
        <f t="shared" si="8"/>
        <v/>
      </c>
      <c r="X26" s="65" t="str">
        <f t="shared" si="8"/>
        <v/>
      </c>
      <c r="Y26" s="65" t="str">
        <f t="shared" si="8"/>
        <v/>
      </c>
      <c r="Z26" s="67" t="str">
        <f t="shared" si="8"/>
        <v/>
      </c>
    </row>
    <row r="27" spans="2:26" ht="16.5" thickBot="1">
      <c r="B27" s="253"/>
      <c r="C27" s="60">
        <f>1*'Cadastro de Insumos'!$P$6</f>
        <v>1</v>
      </c>
      <c r="D27" s="60">
        <f>1*'Cadastro de Insumos'!$P$10</f>
        <v>0</v>
      </c>
      <c r="E27" s="60">
        <f>1*'Cadastro de Insumos'!$P$14</f>
        <v>0</v>
      </c>
      <c r="F27" s="57">
        <f>(B26*(1+$B$6)-1)*'Cadastro de Insumos'!$P$20</f>
        <v>3.43</v>
      </c>
      <c r="G27" s="57">
        <f>(B26*(1+$B$6)-1)*'Cadastro de Insumos'!$P$24</f>
        <v>0</v>
      </c>
      <c r="H27" s="57">
        <f>(B26*(1+$B$6)-1)*'Cadastro de Insumos'!$P$28</f>
        <v>0</v>
      </c>
      <c r="I27" s="57">
        <f>($B$6-(SUM(F27:H27)))*'Cadastro de Insumos'!$P$34</f>
        <v>3.3420000000000001</v>
      </c>
      <c r="J27" s="57">
        <f>($B$6-(SUM(F27:H27)))*'Cadastro de Insumos'!$P$38</f>
        <v>2.2280000000000002</v>
      </c>
      <c r="K27" s="57">
        <f>($B$6-(SUM(F27:H27)))*'Cadastro de Insumos'!$P$42</f>
        <v>0</v>
      </c>
      <c r="L27" s="57">
        <f>($B$6-(SUM(F27:H27)))*'Cadastro de Insumos'!$P$46</f>
        <v>0</v>
      </c>
      <c r="M27" s="56">
        <f>IF(C27=0,"",('Escopo de Estudo'!$D$30/SUM('Ficha de Dosagem - G'!I27:L27))*C27)</f>
        <v>3.5906642728904847</v>
      </c>
      <c r="N27" s="57" t="str">
        <f>IF(N10="","",('Escopo de Estudo'!$D$30/SUM('Ficha de Dosagem - G'!I27:L27))*D27)</f>
        <v/>
      </c>
      <c r="O27" s="58" t="str">
        <f>IF(O10="","",('Escopo de Estudo'!$D$30/SUM('Ficha de Dosagem - G'!I27:L27))*E27)</f>
        <v/>
      </c>
      <c r="P27" s="56">
        <f t="shared" si="1"/>
        <v>12.315978456014363</v>
      </c>
      <c r="Q27" s="72" t="str">
        <f>IF($Q$10="","",SUM(M27:O27)*G27)</f>
        <v/>
      </c>
      <c r="R27" s="55" t="str">
        <f>IF($R$10="","",SUM(M27:O27)*H27)</f>
        <v/>
      </c>
      <c r="S27" s="56" t="str">
        <f>IF('Cadastro de Insumos'!$O$52=FALSE,"",IF('Cadastro de Insumos'!$P$52=FALSE,(('Cadastro de Insumos'!$E$54*M27)/'Cadastro de Insumos'!$L$54)*1000,(('Cadastro de Insumos'!$E$54*M27)*1000)))</f>
        <v/>
      </c>
      <c r="T27" s="57" t="str">
        <f>IF('Cadastro de Insumos'!$O$56=FALSE,"",IF('Cadastro de Insumos'!$P$56=FALSE,(('Cadastro de Insumos'!$E$58*M27)/'Cadastro de Insumos'!$L$58)*1000,(('Cadastro de Insumos'!$E$58*M27)*1000)))</f>
        <v/>
      </c>
      <c r="U27" s="57" t="str">
        <f>IF('Cadastro de Insumos'!$O$60=FALSE,"",IF('Cadastro de Insumos'!$P$60=FALSE,(('Cadastro de Insumos'!$E$62*M27)/'Cadastro de Insumos'!$L$62)*1000,(('Cadastro de Insumos'!$E$62*M27)*1000)))</f>
        <v/>
      </c>
      <c r="V27" s="58" t="str">
        <f>IF('Cadastro de Insumos'!$O$64=FALSE,"",IF('Cadastro de Insumos'!$P$64=FALSE,(('Cadastro de Insumos'!$E$66*M27)/'Cadastro de Insumos'!$L$66)*1000,(('Cadastro de Insumos'!$E$66*M27)*1000)))</f>
        <v/>
      </c>
      <c r="W27" s="56" t="str">
        <f>IF('Cadastro de Insumos'!$O$70=FALSE,"",IF('Cadastro de Insumos'!$P$70=FALSE,(('Cadastro de Insumos'!$E$72*M27)/'Cadastro de Insumos'!$L$72)*1000,(('Cadastro de Insumos'!$E$72*M27)*1000)))</f>
        <v/>
      </c>
      <c r="X27" s="57" t="str">
        <f>IF('Cadastro de Insumos'!$O$74=FALSE,"",IF('Cadastro de Insumos'!$P$74=FALSE,(('Cadastro de Insumos'!$E$76*M27)/'Cadastro de Insumos'!$L$76)*1000,(('Cadastro de Insumos'!$E$76*M27)*1000)))</f>
        <v/>
      </c>
      <c r="Y27" s="57" t="str">
        <f>IF('Cadastro de Insumos'!$O$78=FALSE,"",IF('Cadastro de Insumos'!$P$78=FALSE,(('Cadastro de Insumos'!$E$80*M27)/'Cadastro de Insumos'!$L$80)*1000,(('Cadastro de Insumos'!$E$80*M27)*1000)))</f>
        <v/>
      </c>
      <c r="Z27" s="58" t="str">
        <f>IF('Cadastro de Insumos'!$O$82=FALSE,"",IF('Cadastro de Insumos'!$P$82=FALSE,(('Cadastro de Insumos'!$E$84*M27)/'Cadastro de Insumos'!$L$84)*1000,(('Cadastro de Insumos'!$E$84*M27)*1000)))</f>
        <v/>
      </c>
    </row>
    <row r="28" spans="2:26">
      <c r="B28" s="252">
        <f>B26+0.01</f>
        <v>0.60000000000000009</v>
      </c>
      <c r="C28" s="50"/>
      <c r="D28" s="50"/>
      <c r="E28" s="50"/>
      <c r="F28" s="63"/>
      <c r="G28" s="63"/>
      <c r="H28" s="63"/>
      <c r="I28" s="63"/>
      <c r="J28" s="63"/>
      <c r="K28" s="63"/>
      <c r="L28" s="63"/>
      <c r="M28" s="64" t="str">
        <f>IF(M29="","","+"&amp;ROUND(M29-M27,3))</f>
        <v>+0,046</v>
      </c>
      <c r="N28" s="65" t="str">
        <f>IF(N29="","","+"&amp;ROUND(N29-N27,3))</f>
        <v/>
      </c>
      <c r="O28" s="66" t="str">
        <f>IF(O29="","","+"&amp;ROUND(O29-O27,3))</f>
        <v/>
      </c>
      <c r="P28" s="64" t="str">
        <f t="shared" ref="P28:Z28" si="9">IF(P29="","","+"&amp;ROUND(P29-P27,3))</f>
        <v>+0,411</v>
      </c>
      <c r="Q28" s="65" t="str">
        <f t="shared" si="9"/>
        <v/>
      </c>
      <c r="R28" s="67" t="str">
        <f t="shared" si="9"/>
        <v/>
      </c>
      <c r="S28" s="64" t="str">
        <f t="shared" si="9"/>
        <v/>
      </c>
      <c r="T28" s="65" t="str">
        <f t="shared" si="9"/>
        <v/>
      </c>
      <c r="U28" s="65" t="str">
        <f t="shared" si="9"/>
        <v/>
      </c>
      <c r="V28" s="67" t="str">
        <f t="shared" si="9"/>
        <v/>
      </c>
      <c r="W28" s="64" t="str">
        <f t="shared" si="9"/>
        <v/>
      </c>
      <c r="X28" s="65" t="str">
        <f t="shared" si="9"/>
        <v/>
      </c>
      <c r="Y28" s="65" t="str">
        <f t="shared" si="9"/>
        <v/>
      </c>
      <c r="Z28" s="67" t="str">
        <f t="shared" si="9"/>
        <v/>
      </c>
    </row>
    <row r="29" spans="2:26" ht="16.5" thickBot="1">
      <c r="B29" s="253"/>
      <c r="C29" s="60">
        <f>1*'Cadastro de Insumos'!$P$6</f>
        <v>1</v>
      </c>
      <c r="D29" s="60">
        <f>1*'Cadastro de Insumos'!$P$10</f>
        <v>0</v>
      </c>
      <c r="E29" s="60">
        <f>1*'Cadastro de Insumos'!$P$14</f>
        <v>0</v>
      </c>
      <c r="F29" s="57">
        <f>(B28*(1+$B$6)-1)*'Cadastro de Insumos'!$P$20</f>
        <v>3.5000000000000004</v>
      </c>
      <c r="G29" s="57">
        <f>(B28*(1+$B$6)-1)*'Cadastro de Insumos'!$P$24</f>
        <v>0</v>
      </c>
      <c r="H29" s="57">
        <f>(B28*(1+$B$6)-1)*'Cadastro de Insumos'!$P$28</f>
        <v>0</v>
      </c>
      <c r="I29" s="57">
        <f>($B$6-(SUM(F29:H29)))*'Cadastro de Insumos'!$P$34</f>
        <v>3.3</v>
      </c>
      <c r="J29" s="57">
        <f>($B$6-(SUM(F29:H29)))*'Cadastro de Insumos'!$P$38</f>
        <v>2.2000000000000002</v>
      </c>
      <c r="K29" s="57">
        <f>($B$6-(SUM(F29:H29)))*'Cadastro de Insumos'!$P$42</f>
        <v>0</v>
      </c>
      <c r="L29" s="57">
        <f>($B$6-(SUM(F29:H29)))*'Cadastro de Insumos'!$P$46</f>
        <v>0</v>
      </c>
      <c r="M29" s="56">
        <f>IF(C29=0,"",('Escopo de Estudo'!$D$30/SUM('Ficha de Dosagem - G'!I29:L29))*C29)</f>
        <v>3.6363636363636362</v>
      </c>
      <c r="N29" s="57" t="str">
        <f>IF(N10="","",('Escopo de Estudo'!$D$30/SUM('Ficha de Dosagem - G'!I29:L29))*D29)</f>
        <v/>
      </c>
      <c r="O29" s="58" t="str">
        <f>IF(O10="","",('Escopo de Estudo'!$D$30/SUM('Ficha de Dosagem - G'!I29:L29))*E29)</f>
        <v/>
      </c>
      <c r="P29" s="56">
        <f t="shared" si="1"/>
        <v>12.727272727272728</v>
      </c>
      <c r="Q29" s="72" t="str">
        <f>IF($Q$10="","",SUM(M29:O29)*G29)</f>
        <v/>
      </c>
      <c r="R29" s="55" t="str">
        <f>IF($R$10="","",SUM(M29:O29)*H29)</f>
        <v/>
      </c>
      <c r="S29" s="56" t="str">
        <f>IF('Cadastro de Insumos'!$O$52=FALSE,"",IF('Cadastro de Insumos'!$P$52=FALSE,(('Cadastro de Insumos'!$E$54*M29)/'Cadastro de Insumos'!$L$54)*1000,(('Cadastro de Insumos'!$E$54*M29)*1000)))</f>
        <v/>
      </c>
      <c r="T29" s="57" t="str">
        <f>IF('Cadastro de Insumos'!$O$56=FALSE,"",IF('Cadastro de Insumos'!$P$56=FALSE,(('Cadastro de Insumos'!$E$58*M29)/'Cadastro de Insumos'!$L$58)*1000,(('Cadastro de Insumos'!$E$58*M29)*1000)))</f>
        <v/>
      </c>
      <c r="U29" s="57" t="str">
        <f>IF('Cadastro de Insumos'!$O$60=FALSE,"",IF('Cadastro de Insumos'!$P$60=FALSE,(('Cadastro de Insumos'!$E$62*M29)/'Cadastro de Insumos'!$L$62)*1000,(('Cadastro de Insumos'!$E$62*M29)*1000)))</f>
        <v/>
      </c>
      <c r="V29" s="58" t="str">
        <f>IF('Cadastro de Insumos'!$O$64=FALSE,"",IF('Cadastro de Insumos'!$P$64=FALSE,(('Cadastro de Insumos'!$E$66*M29)/'Cadastro de Insumos'!$L$66)*1000,(('Cadastro de Insumos'!$E$66*M29)*1000)))</f>
        <v/>
      </c>
      <c r="W29" s="56" t="str">
        <f>IF('Cadastro de Insumos'!$O$70=FALSE,"",IF('Cadastro de Insumos'!$P$70=FALSE,(('Cadastro de Insumos'!$E$72*M29)/'Cadastro de Insumos'!$L$72)*1000,(('Cadastro de Insumos'!$E$72*M29)*1000)))</f>
        <v/>
      </c>
      <c r="X29" s="57" t="str">
        <f>IF('Cadastro de Insumos'!$O$74=FALSE,"",IF('Cadastro de Insumos'!$P$74=FALSE,(('Cadastro de Insumos'!$E$76*M29)/'Cadastro de Insumos'!$L$76)*1000,(('Cadastro de Insumos'!$E$76*M29)*1000)))</f>
        <v/>
      </c>
      <c r="Y29" s="57" t="str">
        <f>IF('Cadastro de Insumos'!$O$78=FALSE,"",IF('Cadastro de Insumos'!$P$78=FALSE,(('Cadastro de Insumos'!$E$80*M29)/'Cadastro de Insumos'!$L$80)*1000,(('Cadastro de Insumos'!$E$80*M29)*1000)))</f>
        <v/>
      </c>
      <c r="Z29" s="58" t="str">
        <f>IF('Cadastro de Insumos'!$O$82=FALSE,"",IF('Cadastro de Insumos'!$P$82=FALSE,(('Cadastro de Insumos'!$E$84*M29)/'Cadastro de Insumos'!$L$84)*1000,(('Cadastro de Insumos'!$E$84*M29)*1000)))</f>
        <v/>
      </c>
    </row>
    <row r="30" spans="2:26">
      <c r="B30" s="252">
        <f>B28+0.01</f>
        <v>0.6100000000000001</v>
      </c>
      <c r="C30" s="50"/>
      <c r="D30" s="50"/>
      <c r="E30" s="50"/>
      <c r="F30" s="63"/>
      <c r="G30" s="63"/>
      <c r="H30" s="63"/>
      <c r="I30" s="63"/>
      <c r="J30" s="63"/>
      <c r="K30" s="63"/>
      <c r="L30" s="63"/>
      <c r="M30" s="64" t="str">
        <f>IF(M31="","","+"&amp;ROUND(M31-M29,3))</f>
        <v>+0,047</v>
      </c>
      <c r="N30" s="65" t="str">
        <f>IF(N31="","","+"&amp;ROUND(N31-N29,3))</f>
        <v/>
      </c>
      <c r="O30" s="66" t="str">
        <f>IF(O31="","","+"&amp;ROUND(O31-O29,3))</f>
        <v/>
      </c>
      <c r="P30" s="64" t="str">
        <f t="shared" ref="P30:Z30" si="10">IF(P31="","","+"&amp;ROUND(P31-P29,3))</f>
        <v>+0,422</v>
      </c>
      <c r="Q30" s="65" t="str">
        <f t="shared" si="10"/>
        <v/>
      </c>
      <c r="R30" s="67" t="str">
        <f t="shared" si="10"/>
        <v/>
      </c>
      <c r="S30" s="64" t="str">
        <f t="shared" si="10"/>
        <v/>
      </c>
      <c r="T30" s="65" t="str">
        <f t="shared" si="10"/>
        <v/>
      </c>
      <c r="U30" s="65" t="str">
        <f t="shared" si="10"/>
        <v/>
      </c>
      <c r="V30" s="67" t="str">
        <f t="shared" si="10"/>
        <v/>
      </c>
      <c r="W30" s="64" t="str">
        <f t="shared" si="10"/>
        <v/>
      </c>
      <c r="X30" s="65" t="str">
        <f t="shared" si="10"/>
        <v/>
      </c>
      <c r="Y30" s="65" t="str">
        <f t="shared" si="10"/>
        <v/>
      </c>
      <c r="Z30" s="67" t="str">
        <f t="shared" si="10"/>
        <v/>
      </c>
    </row>
    <row r="31" spans="2:26" ht="16.5" thickBot="1">
      <c r="B31" s="253"/>
      <c r="C31" s="60">
        <f>1*'Cadastro de Insumos'!$P$6</f>
        <v>1</v>
      </c>
      <c r="D31" s="60">
        <f>1*'Cadastro de Insumos'!$P$10</f>
        <v>0</v>
      </c>
      <c r="E31" s="60">
        <f>1*'Cadastro de Insumos'!$P$14</f>
        <v>0</v>
      </c>
      <c r="F31" s="57">
        <f>(B30*(1+$B$6)-1)*'Cadastro de Insumos'!$P$20</f>
        <v>3.5700000000000007</v>
      </c>
      <c r="G31" s="57">
        <f>(B30*(1+$B$6)-1)*'Cadastro de Insumos'!$P$24</f>
        <v>0</v>
      </c>
      <c r="H31" s="57">
        <f>(B30*(1+$B$6)-1)*'Cadastro de Insumos'!$P$28</f>
        <v>0</v>
      </c>
      <c r="I31" s="57">
        <f>($B$6-(SUM(F31:H31)))*'Cadastro de Insumos'!$P$34</f>
        <v>3.2579999999999996</v>
      </c>
      <c r="J31" s="57">
        <f>($B$6-(SUM(F31:H31)))*'Cadastro de Insumos'!$P$38</f>
        <v>2.1720000000000002</v>
      </c>
      <c r="K31" s="57">
        <f>($B$6-(SUM(F31:H31)))*'Cadastro de Insumos'!$P$42</f>
        <v>0</v>
      </c>
      <c r="L31" s="57">
        <f>($B$6-(SUM(F31:H31)))*'Cadastro de Insumos'!$P$46</f>
        <v>0</v>
      </c>
      <c r="M31" s="56">
        <f>IF(C31=0,"",('Escopo de Estudo'!$D$30/SUM('Ficha de Dosagem - G'!I31:L31))*C31)</f>
        <v>3.6832412523020261</v>
      </c>
      <c r="N31" s="57" t="str">
        <f>IF(N10="","",('Escopo de Estudo'!$D$30/SUM('Ficha de Dosagem - G'!I31:L31))*D31)</f>
        <v/>
      </c>
      <c r="O31" s="58" t="str">
        <f>IF(O10="","",('Escopo de Estudo'!$D$30/SUM('Ficha de Dosagem - G'!I31:L31))*E31)</f>
        <v/>
      </c>
      <c r="P31" s="56">
        <f t="shared" si="1"/>
        <v>13.149171270718236</v>
      </c>
      <c r="Q31" s="57" t="str">
        <f>IF($Q$10="","",SUM(M31:O31)*G31)</f>
        <v/>
      </c>
      <c r="R31" s="58" t="str">
        <f>IF($R$10="","",SUM(M31:O31)*H31)</f>
        <v/>
      </c>
      <c r="S31" s="56" t="str">
        <f>IF('Cadastro de Insumos'!$O$52=FALSE,"",IF('Cadastro de Insumos'!$P$52=FALSE,(('Cadastro de Insumos'!$E$54*M31)/'Cadastro de Insumos'!$L$54)*1000,(('Cadastro de Insumos'!$E$54*M31)*1000)))</f>
        <v/>
      </c>
      <c r="T31" s="57" t="str">
        <f>IF('Cadastro de Insumos'!$O$56=FALSE,"",IF('Cadastro de Insumos'!$P$56=FALSE,(('Cadastro de Insumos'!$E$58*M31)/'Cadastro de Insumos'!$L$58)*1000,(('Cadastro de Insumos'!$E$58*M31)*1000)))</f>
        <v/>
      </c>
      <c r="U31" s="57" t="str">
        <f>IF('Cadastro de Insumos'!$O$60=FALSE,"",IF('Cadastro de Insumos'!$P$60=FALSE,(('Cadastro de Insumos'!$E$62*M31)/'Cadastro de Insumos'!$L$62)*1000,(('Cadastro de Insumos'!$E$62*M31)*1000)))</f>
        <v/>
      </c>
      <c r="V31" s="58" t="str">
        <f>IF('Cadastro de Insumos'!$O$64=FALSE,"",IF('Cadastro de Insumos'!$P$64=FALSE,(('Cadastro de Insumos'!$E$66*M31)/'Cadastro de Insumos'!$L$66)*1000,(('Cadastro de Insumos'!$E$66*M31)*1000)))</f>
        <v/>
      </c>
      <c r="W31" s="56" t="str">
        <f>IF('Cadastro de Insumos'!$O$70=FALSE,"",IF('Cadastro de Insumos'!$P$70=FALSE,(('Cadastro de Insumos'!$E$72*M31)/'Cadastro de Insumos'!$L$72)*1000,(('Cadastro de Insumos'!$E$72*M31)*1000)))</f>
        <v/>
      </c>
      <c r="X31" s="57" t="str">
        <f>IF('Cadastro de Insumos'!$O$74=FALSE,"",IF('Cadastro de Insumos'!$P$74=FALSE,(('Cadastro de Insumos'!$E$76*M31)/'Cadastro de Insumos'!$L$76)*1000,(('Cadastro de Insumos'!$E$76*M31)*1000)))</f>
        <v/>
      </c>
      <c r="Y31" s="57" t="str">
        <f>IF('Cadastro de Insumos'!$O$78=FALSE,"",IF('Cadastro de Insumos'!$P$78=FALSE,(('Cadastro de Insumos'!$E$80*M31)/'Cadastro de Insumos'!$L$80)*1000,(('Cadastro de Insumos'!$E$80*M31)*1000)))</f>
        <v/>
      </c>
      <c r="Z31" s="58" t="str">
        <f>IF('Cadastro de Insumos'!$O$82=FALSE,"",IF('Cadastro de Insumos'!$P$82=FALSE,(('Cadastro de Insumos'!$E$84*M31)/'Cadastro de Insumos'!$L$84)*1000,(('Cadastro de Insumos'!$E$84*M31)*1000)))</f>
        <v/>
      </c>
    </row>
  </sheetData>
  <mergeCells count="34">
    <mergeCell ref="N7:O7"/>
    <mergeCell ref="Q7:R7"/>
    <mergeCell ref="T7:V7"/>
    <mergeCell ref="X7:Z7"/>
    <mergeCell ref="N2:O2"/>
    <mergeCell ref="U2:W2"/>
    <mergeCell ref="N3:O3"/>
    <mergeCell ref="U3:W3"/>
    <mergeCell ref="N5:O5"/>
    <mergeCell ref="Q5:R5"/>
    <mergeCell ref="T5:V5"/>
    <mergeCell ref="X5:Z5"/>
    <mergeCell ref="N6:O6"/>
    <mergeCell ref="Q6:R6"/>
    <mergeCell ref="T6:V6"/>
    <mergeCell ref="X6:Z6"/>
    <mergeCell ref="T8:V8"/>
    <mergeCell ref="X8:Z8"/>
    <mergeCell ref="B9:B10"/>
    <mergeCell ref="C9:K9"/>
    <mergeCell ref="M9:O9"/>
    <mergeCell ref="P9:R9"/>
    <mergeCell ref="S9:V9"/>
    <mergeCell ref="W9:Z9"/>
    <mergeCell ref="B24:B25"/>
    <mergeCell ref="B26:B27"/>
    <mergeCell ref="B28:B29"/>
    <mergeCell ref="B30:B31"/>
    <mergeCell ref="B12:B13"/>
    <mergeCell ref="B14:B15"/>
    <mergeCell ref="B16:B17"/>
    <mergeCell ref="B18:B19"/>
    <mergeCell ref="B20:B21"/>
    <mergeCell ref="B22:B23"/>
  </mergeCells>
  <conditionalFormatting sqref="B2:Z31">
    <cfRule type="expression" dxfId="1" priority="1">
      <formula>$B$2=FALSE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9453085-ADEC-48B6-BD06-F7CC41F30B30}">
            <xm:f>'Dados - Fase Plástica'!$P$1="ERRO"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B2:Z31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scriptIds xmlns="http://schemas.microsoft.com/office/extensibility/maker/v1.0" id="script-ids-node-id">
  <scriptId id="ms-officescript%3A%2F%2Fonedrive_business_itemlink%2F01C3GLRIRLUKM72J5ZXRD3PTLVPLEATFXH:ms-officescript%3A%2F%2Fonedrive_business_sharinglink%2Fu!aHR0cHM6Ly9lc3RydXRlY210LW15LnNoYXJlcG9pbnQuY29tLzp1Oi9nL3BlcnNvbmFsL2VuZ2VuaGFyaWFfZXN0cnV0ZWNtdF9jb21fYnIvRVN1aW1mMG51YnhIdDgxMWVzZ0psdWNCTkFZUG54STZRQURibklrSnhoR0g5Zw"/>
</scriptIds>
</file>

<file path=customXml/itemProps1.xml><?xml version="1.0" encoding="utf-8"?>
<ds:datastoreItem xmlns:ds="http://schemas.openxmlformats.org/officeDocument/2006/customXml" ds:itemID="{5BA689B5-E686-4ECA-8B28-133D8F75423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836516A-B16C-4EA3-BBA8-5D0D3AD16045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10</vt:i4>
      </vt:variant>
    </vt:vector>
  </HeadingPairs>
  <TitlesOfParts>
    <vt:vector size="24" baseType="lpstr">
      <vt:lpstr>Cadastro de Cliente</vt:lpstr>
      <vt:lpstr>Cadastro de Insumos</vt:lpstr>
      <vt:lpstr>Escopo de Estudo</vt:lpstr>
      <vt:lpstr>Dados - Fase Plástica</vt:lpstr>
      <vt:lpstr>Dados - Resistências</vt:lpstr>
      <vt:lpstr>Avaliação de Resultado</vt:lpstr>
      <vt:lpstr>Compilado de Dados</vt:lpstr>
      <vt:lpstr>Ficha de Dosagem - A</vt:lpstr>
      <vt:lpstr>Ficha de Dosagem - B</vt:lpstr>
      <vt:lpstr>Ficha de Dosagem - C</vt:lpstr>
      <vt:lpstr>Ficha de Dosagem - D</vt:lpstr>
      <vt:lpstr>Ficha de Dosagem - E</vt:lpstr>
      <vt:lpstr>Ficha de Dosagem - F</vt:lpstr>
      <vt:lpstr>Ficha de Dosagem - G</vt:lpstr>
      <vt:lpstr>'Cadastro de Cliente'!Area_de_impressao</vt:lpstr>
      <vt:lpstr>'Cadastro de Insumos'!Area_de_impressao</vt:lpstr>
      <vt:lpstr>'Escopo de Estudo'!Area_de_impressao</vt:lpstr>
      <vt:lpstr>'Ficha de Dosagem - A'!Area_de_impressao</vt:lpstr>
      <vt:lpstr>'Ficha de Dosagem - B'!Area_de_impressao</vt:lpstr>
      <vt:lpstr>'Ficha de Dosagem - C'!Area_de_impressao</vt:lpstr>
      <vt:lpstr>'Ficha de Dosagem - D'!Area_de_impressao</vt:lpstr>
      <vt:lpstr>'Ficha de Dosagem - E'!Area_de_impressao</vt:lpstr>
      <vt:lpstr>'Ficha de Dosagem - F'!Area_de_impressao</vt:lpstr>
      <vt:lpstr>'Ficha de Dosagem - G'!Area_de_impressao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Olivio Fiorese Neto - Estrutec</dc:creator>
  <cp:keywords/>
  <dc:description/>
  <cp:lastModifiedBy>Davi caldas</cp:lastModifiedBy>
  <cp:revision/>
  <cp:lastPrinted>2025-11-03T18:26:40Z</cp:lastPrinted>
  <dcterms:created xsi:type="dcterms:W3CDTF">2024-09-19T21:14:33Z</dcterms:created>
  <dcterms:modified xsi:type="dcterms:W3CDTF">2025-12-09T21:28:02Z</dcterms:modified>
  <cp:category/>
  <cp:contentStatus/>
</cp:coreProperties>
</file>